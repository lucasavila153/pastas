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Microline" sheetId="2" r:id="rId1"/>
  </sheets>
  <definedNames>
    <definedName name="_xlnm.Print_Area" localSheetId="0">Microline!$A$1:$N$68</definedName>
  </definedNames>
  <calcPr calcId="125725"/>
</workbook>
</file>

<file path=xl/calcChain.xml><?xml version="1.0" encoding="utf-8"?>
<calcChain xmlns="http://schemas.openxmlformats.org/spreadsheetml/2006/main">
  <c r="F32" i="2"/>
  <c r="F55"/>
  <c r="F58"/>
  <c r="F51"/>
  <c r="F50"/>
  <c r="F49"/>
  <c r="F48"/>
  <c r="F44"/>
  <c r="F45"/>
  <c r="F46"/>
  <c r="F47"/>
  <c r="F52"/>
  <c r="F53"/>
  <c r="F54"/>
  <c r="F56"/>
  <c r="F57"/>
  <c r="F43"/>
  <c r="F42"/>
  <c r="F26"/>
  <c r="F27"/>
  <c r="F28"/>
  <c r="F29"/>
  <c r="F30"/>
  <c r="F31"/>
  <c r="F25"/>
  <c r="F9"/>
  <c r="F10"/>
  <c r="F11"/>
  <c r="F12"/>
  <c r="F13"/>
  <c r="F14"/>
  <c r="F8"/>
</calcChain>
</file>

<file path=xl/sharedStrings.xml><?xml version="1.0" encoding="utf-8"?>
<sst xmlns="http://schemas.openxmlformats.org/spreadsheetml/2006/main" count="133" uniqueCount="94">
  <si>
    <t>Média</t>
  </si>
  <si>
    <t>Mín.</t>
  </si>
  <si>
    <t>Máx.</t>
  </si>
  <si>
    <t>Amp.</t>
  </si>
  <si>
    <t>Moda</t>
  </si>
  <si>
    <t>Valores encontrados</t>
  </si>
  <si>
    <t>Cotas</t>
  </si>
  <si>
    <t>Data do levantamento dimensional:</t>
  </si>
  <si>
    <t>A</t>
  </si>
  <si>
    <t>ØB</t>
  </si>
  <si>
    <t>ØC</t>
  </si>
  <si>
    <t>ØD</t>
  </si>
  <si>
    <t>ØE</t>
  </si>
  <si>
    <t>ØF</t>
  </si>
  <si>
    <t>ØG</t>
  </si>
  <si>
    <t>Medidas nominal em desenho</t>
  </si>
  <si>
    <t>-</t>
  </si>
  <si>
    <t>Nº desenho:</t>
  </si>
  <si>
    <t>Rev.:</t>
  </si>
  <si>
    <t>Desvio padrão</t>
  </si>
  <si>
    <t>Histórico de atualizações de desenho</t>
  </si>
  <si>
    <t>B</t>
  </si>
  <si>
    <t>C</t>
  </si>
  <si>
    <t>09.10.19</t>
  </si>
  <si>
    <t>6,00 ± 0,05</t>
  </si>
  <si>
    <r>
      <t xml:space="preserve">34,55 </t>
    </r>
    <r>
      <rPr>
        <sz val="9"/>
        <color theme="1"/>
        <rFont val="Calibri"/>
        <family val="2"/>
      </rPr>
      <t>± 0,05</t>
    </r>
  </si>
  <si>
    <t>0,94 ± 0,05</t>
  </si>
  <si>
    <t>6,50 ± 0,03</t>
  </si>
  <si>
    <t>7,16 ± 0,05</t>
  </si>
  <si>
    <t>5,30 ± 0,05</t>
  </si>
  <si>
    <t>5,70 ± 0,05</t>
  </si>
  <si>
    <t>NA</t>
  </si>
  <si>
    <t>Sugestão</t>
  </si>
  <si>
    <t>E</t>
  </si>
  <si>
    <t>ØH</t>
  </si>
  <si>
    <t>L</t>
  </si>
  <si>
    <t>J</t>
  </si>
  <si>
    <t>K</t>
  </si>
  <si>
    <t>ØF (MÁX.)</t>
  </si>
  <si>
    <t>ØF (MÍN.)</t>
  </si>
  <si>
    <t>ØF (MÉD.)</t>
  </si>
  <si>
    <t>ØG (MÍN.)</t>
  </si>
  <si>
    <t>ØG MÁX.)</t>
  </si>
  <si>
    <t>ØG (MÉD.)</t>
  </si>
  <si>
    <t>ØI (MÍN.)</t>
  </si>
  <si>
    <t>ØI (MÁX.)</t>
  </si>
  <si>
    <r>
      <t xml:space="preserve">31,11 </t>
    </r>
    <r>
      <rPr>
        <sz val="9"/>
        <color theme="1"/>
        <rFont val="Calibri"/>
        <family val="2"/>
      </rPr>
      <t>±0,1</t>
    </r>
  </si>
  <si>
    <t>6,65 ±0,03</t>
  </si>
  <si>
    <t>31,08 ±0,05</t>
  </si>
  <si>
    <t>8,15 ±0,05</t>
  </si>
  <si>
    <t>9,15 ±0,05</t>
  </si>
  <si>
    <t>6,45 ±0,05</t>
  </si>
  <si>
    <t>4,35 ±0,03</t>
  </si>
  <si>
    <t>5,45 ±0,05</t>
  </si>
  <si>
    <t>5,65 ±0,05</t>
  </si>
  <si>
    <t>OK</t>
  </si>
  <si>
    <t>4,45 ±0,03</t>
  </si>
  <si>
    <t>1,92 +0,0/ -0,03</t>
  </si>
  <si>
    <t>5,43 ±0,03</t>
  </si>
  <si>
    <t>ØI (MÉD.)</t>
  </si>
  <si>
    <t>1,15 ±0,05</t>
  </si>
  <si>
    <t>7,55 ±0,1</t>
  </si>
  <si>
    <t>8,54 ±0,07</t>
  </si>
  <si>
    <t>1,87 ±0,03</t>
  </si>
  <si>
    <t>5,70 ±0,05</t>
  </si>
  <si>
    <t>5,66 ±0,05</t>
  </si>
  <si>
    <t>7,57 ±0,05</t>
  </si>
  <si>
    <t>12,65 ±0,05</t>
  </si>
  <si>
    <t>22,50 +0,2 /-0,0</t>
  </si>
  <si>
    <t>8,70 ±0,05</t>
  </si>
  <si>
    <t>Observações: K: uma peça apresentou medida acima de 23,10 mm (cav.1). L: uma peça apresentou medida acima de 6,61 mm (cav.1).</t>
  </si>
  <si>
    <t>09.10.15</t>
  </si>
  <si>
    <t>08.09.12/1</t>
  </si>
  <si>
    <t>Tampa Microline (todas dimensões em mm)</t>
  </si>
  <si>
    <t>Tampinha Microline  (todas dimensões em mm)</t>
  </si>
  <si>
    <t>Conexão Microline  (todas dimensões em mm)</t>
  </si>
  <si>
    <t>9,55 +0,10/-0,05</t>
  </si>
  <si>
    <t>6,1 +0,10/-0,05</t>
  </si>
  <si>
    <t>0,95 +0,10/-0,05</t>
  </si>
  <si>
    <t>6,90 +0,10/-0,05</t>
  </si>
  <si>
    <t>2,70 ±0,05</t>
  </si>
  <si>
    <r>
      <t xml:space="preserve">6,51 </t>
    </r>
    <r>
      <rPr>
        <sz val="9"/>
        <color theme="1"/>
        <rFont val="Calibri"/>
        <family val="2"/>
      </rPr>
      <t>±0,03</t>
    </r>
  </si>
  <si>
    <t>6,55 ±0,03</t>
  </si>
  <si>
    <t xml:space="preserve">Observações:  </t>
  </si>
  <si>
    <t xml:space="preserve">Observações: </t>
  </si>
  <si>
    <t>5,50 ±0,05</t>
  </si>
  <si>
    <t>5,54 ±0,05</t>
  </si>
  <si>
    <t>* Todas as sugestões de atualização das medidas, consideraram a especificação dos produtos de fornecimento externo (corpo extrusado, ponta e pavio), que por sua vez, foram mantidas.</t>
  </si>
  <si>
    <t>13,35 ±0,03</t>
  </si>
  <si>
    <t>H</t>
  </si>
  <si>
    <t>27,66 ±0,05</t>
  </si>
  <si>
    <t>27,65 ±0,05</t>
  </si>
  <si>
    <t>34,75 ±0,1</t>
  </si>
  <si>
    <t>23,04 ±0,15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</si>
</sst>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dd/mm/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Tahoma"/>
      <family val="2"/>
    </font>
    <font>
      <sz val="9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0" fillId="0" borderId="11" xfId="0" applyBorder="1"/>
    <xf numFmtId="0" fontId="3" fillId="0" borderId="17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2" fontId="3" fillId="0" borderId="17" xfId="0" quotePrefix="1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0" fillId="0" borderId="12" xfId="0" quotePrefix="1" applyBorder="1" applyAlignment="1">
      <alignment horizontal="center"/>
    </xf>
    <xf numFmtId="164" fontId="3" fillId="0" borderId="20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" fontId="3" fillId="0" borderId="32" xfId="0" applyNumberFormat="1" applyFont="1" applyBorder="1" applyAlignment="1">
      <alignment horizontal="center" vertical="center"/>
    </xf>
    <xf numFmtId="164" fontId="3" fillId="0" borderId="32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38" xfId="0" applyNumberFormat="1" applyFont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 vertical="center"/>
    </xf>
    <xf numFmtId="2" fontId="3" fillId="0" borderId="3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2" fontId="3" fillId="0" borderId="30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27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2" fontId="3" fillId="0" borderId="50" xfId="0" applyNumberFormat="1" applyFont="1" applyBorder="1" applyAlignment="1">
      <alignment horizontal="center" vertical="center"/>
    </xf>
    <xf numFmtId="164" fontId="3" fillId="0" borderId="51" xfId="0" applyNumberFormat="1" applyFont="1" applyBorder="1" applyAlignment="1">
      <alignment horizontal="center" vertical="center"/>
    </xf>
    <xf numFmtId="2" fontId="3" fillId="0" borderId="51" xfId="0" applyNumberFormat="1" applyFont="1" applyBorder="1" applyAlignment="1">
      <alignment horizontal="center" vertical="center"/>
    </xf>
    <xf numFmtId="0" fontId="0" fillId="0" borderId="23" xfId="0" applyBorder="1"/>
    <xf numFmtId="0" fontId="0" fillId="0" borderId="0" xfId="0" applyBorder="1"/>
    <xf numFmtId="0" fontId="0" fillId="0" borderId="7" xfId="0" applyBorder="1"/>
    <xf numFmtId="0" fontId="0" fillId="0" borderId="12" xfId="0" applyBorder="1"/>
    <xf numFmtId="2" fontId="3" fillId="2" borderId="45" xfId="0" applyNumberFormat="1" applyFont="1" applyFill="1" applyBorder="1" applyAlignment="1">
      <alignment horizontal="center" vertical="center"/>
    </xf>
    <xf numFmtId="2" fontId="3" fillId="2" borderId="46" xfId="0" applyNumberFormat="1" applyFont="1" applyFill="1" applyBorder="1" applyAlignment="1">
      <alignment horizontal="center" vertical="center"/>
    </xf>
    <xf numFmtId="2" fontId="3" fillId="2" borderId="52" xfId="0" applyNumberFormat="1" applyFont="1" applyFill="1" applyBorder="1" applyAlignment="1">
      <alignment horizontal="center" vertical="center"/>
    </xf>
    <xf numFmtId="2" fontId="3" fillId="2" borderId="47" xfId="0" applyNumberFormat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2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4" fontId="6" fillId="0" borderId="3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5" xfId="0" applyBorder="1" applyAlignment="1">
      <alignment horizontal="left"/>
    </xf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3" borderId="26" xfId="0" applyFill="1" applyBorder="1" applyAlignment="1">
      <alignment horizontal="center" wrapText="1"/>
    </xf>
    <xf numFmtId="0" fontId="0" fillId="3" borderId="27" xfId="0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0" fillId="3" borderId="44" xfId="0" applyFill="1" applyBorder="1" applyAlignment="1">
      <alignment horizontal="center" wrapText="1"/>
    </xf>
    <xf numFmtId="0" fontId="0" fillId="3" borderId="4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2" fontId="3" fillId="2" borderId="52" xfId="0" applyNumberFormat="1" applyFont="1" applyFill="1" applyBorder="1" applyAlignment="1">
      <alignment horizontal="center" vertical="center"/>
    </xf>
    <xf numFmtId="2" fontId="3" fillId="2" borderId="42" xfId="0" applyNumberFormat="1" applyFont="1" applyFill="1" applyBorder="1" applyAlignment="1">
      <alignment horizontal="center" vertical="center"/>
    </xf>
    <xf numFmtId="2" fontId="3" fillId="2" borderId="53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54" xfId="0" quotePrefix="1" applyFont="1" applyBorder="1" applyAlignment="1">
      <alignment horizontal="center" vertical="center"/>
    </xf>
    <xf numFmtId="0" fontId="3" fillId="0" borderId="28" xfId="0" quotePrefix="1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13</xdr:row>
      <xdr:rowOff>104775</xdr:rowOff>
    </xdr:from>
    <xdr:to>
      <xdr:col>13</xdr:col>
      <xdr:colOff>428625</xdr:colOff>
      <xdr:row>19</xdr:row>
      <xdr:rowOff>76200</xdr:rowOff>
    </xdr:to>
    <xdr:grpSp>
      <xdr:nvGrpSpPr>
        <xdr:cNvPr id="2" name="Grupo 62"/>
        <xdr:cNvGrpSpPr>
          <a:grpSpLocks/>
        </xdr:cNvGrpSpPr>
      </xdr:nvGrpSpPr>
      <xdr:grpSpPr bwMode="auto">
        <a:xfrm>
          <a:off x="8220075" y="2838450"/>
          <a:ext cx="1400175" cy="1133475"/>
          <a:chOff x="6989887" y="5709397"/>
          <a:chExt cx="1107536" cy="944742"/>
        </a:xfrm>
      </xdr:grpSpPr>
      <xdr:pic>
        <xdr:nvPicPr>
          <xdr:cNvPr id="3" name="Picture 98677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l="38445" t="24513" r="31015" b="21014"/>
          <a:stretch>
            <a:fillRect/>
          </a:stretch>
        </xdr:blipFill>
        <xdr:spPr bwMode="auto">
          <a:xfrm>
            <a:off x="6989887" y="5709397"/>
            <a:ext cx="934693" cy="944742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4" name="Conector reto 45"/>
          <xdr:cNvCxnSpPr>
            <a:cxnSpLocks noChangeShapeType="1"/>
          </xdr:cNvCxnSpPr>
        </xdr:nvCxnSpPr>
        <xdr:spPr bwMode="auto">
          <a:xfrm flipV="1">
            <a:off x="7549259" y="5726430"/>
            <a:ext cx="537363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5" name="Conector reto 46"/>
          <xdr:cNvCxnSpPr>
            <a:cxnSpLocks noChangeShapeType="1"/>
          </xdr:cNvCxnSpPr>
        </xdr:nvCxnSpPr>
        <xdr:spPr bwMode="auto">
          <a:xfrm flipV="1">
            <a:off x="7541639" y="6636434"/>
            <a:ext cx="537363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6" name="Conector reto 47"/>
          <xdr:cNvCxnSpPr>
            <a:cxnSpLocks noChangeShapeType="1"/>
          </xdr:cNvCxnSpPr>
        </xdr:nvCxnSpPr>
        <xdr:spPr bwMode="auto">
          <a:xfrm rot="5400000" flipV="1">
            <a:off x="7609500" y="6181712"/>
            <a:ext cx="902174" cy="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7" name="CaixaDeTexto 6"/>
          <xdr:cNvSpPr txBox="1"/>
        </xdr:nvSpPr>
        <xdr:spPr>
          <a:xfrm rot="16200000">
            <a:off x="7792973" y="6072946"/>
            <a:ext cx="381714" cy="2271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ØD</a:t>
            </a:r>
          </a:p>
        </xdr:txBody>
      </xdr:sp>
    </xdr:grpSp>
    <xdr:clientData/>
  </xdr:twoCellAnchor>
  <xdr:twoCellAnchor>
    <xdr:from>
      <xdr:col>9</xdr:col>
      <xdr:colOff>19050</xdr:colOff>
      <xdr:row>7</xdr:row>
      <xdr:rowOff>57150</xdr:rowOff>
    </xdr:from>
    <xdr:to>
      <xdr:col>13</xdr:col>
      <xdr:colOff>533400</xdr:colOff>
      <xdr:row>12</xdr:row>
      <xdr:rowOff>114300</xdr:rowOff>
    </xdr:to>
    <xdr:grpSp>
      <xdr:nvGrpSpPr>
        <xdr:cNvPr id="8" name="Grupo 61"/>
        <xdr:cNvGrpSpPr>
          <a:grpSpLocks/>
        </xdr:cNvGrpSpPr>
      </xdr:nvGrpSpPr>
      <xdr:grpSpPr bwMode="auto">
        <a:xfrm>
          <a:off x="6315075" y="1638300"/>
          <a:ext cx="3409950" cy="1019175"/>
          <a:chOff x="-36516" y="4572140"/>
          <a:chExt cx="5240734" cy="1631068"/>
        </a:xfrm>
      </xdr:grpSpPr>
      <xdr:pic>
        <xdr:nvPicPr>
          <xdr:cNvPr id="9" name="Picture 9865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10000" contrast="10000"/>
          </a:blip>
          <a:srcRect l="14330" t="28326" r="7376" b="28407"/>
          <a:stretch>
            <a:fillRect/>
          </a:stretch>
        </xdr:blipFill>
        <xdr:spPr bwMode="auto">
          <a:xfrm>
            <a:off x="534836" y="4572140"/>
            <a:ext cx="4162193" cy="1298449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10" name="Conector reto 26"/>
          <xdr:cNvCxnSpPr>
            <a:cxnSpLocks noChangeShapeType="1"/>
          </xdr:cNvCxnSpPr>
        </xdr:nvCxnSpPr>
        <xdr:spPr bwMode="auto">
          <a:xfrm>
            <a:off x="561587" y="5536999"/>
            <a:ext cx="0" cy="665239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1" name="Conector reto 29"/>
          <xdr:cNvCxnSpPr>
            <a:cxnSpLocks noChangeShapeType="1"/>
          </xdr:cNvCxnSpPr>
        </xdr:nvCxnSpPr>
        <xdr:spPr bwMode="auto">
          <a:xfrm rot="5400000">
            <a:off x="2581916" y="4134792"/>
            <a:ext cx="0" cy="403836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12" name="Conector reto 30"/>
          <xdr:cNvCxnSpPr>
            <a:cxnSpLocks noChangeShapeType="1"/>
          </xdr:cNvCxnSpPr>
        </xdr:nvCxnSpPr>
        <xdr:spPr bwMode="auto">
          <a:xfrm rot="5400000">
            <a:off x="4923659" y="5561527"/>
            <a:ext cx="0" cy="538707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3" name="Conector reto 31"/>
          <xdr:cNvCxnSpPr>
            <a:cxnSpLocks noChangeShapeType="1"/>
          </xdr:cNvCxnSpPr>
        </xdr:nvCxnSpPr>
        <xdr:spPr bwMode="auto">
          <a:xfrm rot="5400000">
            <a:off x="4934865" y="4339212"/>
            <a:ext cx="0" cy="538707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4" name="Conector reto 32"/>
          <xdr:cNvCxnSpPr>
            <a:cxnSpLocks noChangeShapeType="1"/>
          </xdr:cNvCxnSpPr>
        </xdr:nvCxnSpPr>
        <xdr:spPr bwMode="auto">
          <a:xfrm>
            <a:off x="5165484" y="4603459"/>
            <a:ext cx="0" cy="1222479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15" name="Conector reto 33"/>
          <xdr:cNvCxnSpPr>
            <a:cxnSpLocks noChangeShapeType="1"/>
          </xdr:cNvCxnSpPr>
        </xdr:nvCxnSpPr>
        <xdr:spPr bwMode="auto">
          <a:xfrm rot="5400000">
            <a:off x="392854" y="5585482"/>
            <a:ext cx="0" cy="32529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6" name="Conector reto 34"/>
          <xdr:cNvCxnSpPr>
            <a:cxnSpLocks noChangeShapeType="1"/>
          </xdr:cNvCxnSpPr>
        </xdr:nvCxnSpPr>
        <xdr:spPr bwMode="auto">
          <a:xfrm rot="5400000">
            <a:off x="381648" y="4517464"/>
            <a:ext cx="0" cy="32529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7" name="Conector reto 35"/>
          <xdr:cNvCxnSpPr>
            <a:cxnSpLocks noChangeShapeType="1"/>
          </xdr:cNvCxnSpPr>
        </xdr:nvCxnSpPr>
        <xdr:spPr bwMode="auto">
          <a:xfrm>
            <a:off x="291354" y="4675004"/>
            <a:ext cx="0" cy="106986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18" name="Conector reto 37"/>
          <xdr:cNvCxnSpPr>
            <a:cxnSpLocks noChangeShapeType="1"/>
          </xdr:cNvCxnSpPr>
        </xdr:nvCxnSpPr>
        <xdr:spPr bwMode="auto">
          <a:xfrm rot="5400000">
            <a:off x="4772537" y="5550483"/>
            <a:ext cx="0" cy="216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19" name="Conector reto 38"/>
          <xdr:cNvCxnSpPr>
            <a:cxnSpLocks noChangeShapeType="1"/>
          </xdr:cNvCxnSpPr>
        </xdr:nvCxnSpPr>
        <xdr:spPr bwMode="auto">
          <a:xfrm>
            <a:off x="4841804" y="4787066"/>
            <a:ext cx="0" cy="85746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cxnSp macro="">
        <xdr:nvCxnSpPr>
          <xdr:cNvPr id="20" name="Conector reto 39"/>
          <xdr:cNvCxnSpPr>
            <a:cxnSpLocks noChangeShapeType="1"/>
          </xdr:cNvCxnSpPr>
        </xdr:nvCxnSpPr>
        <xdr:spPr bwMode="auto">
          <a:xfrm rot="5400000">
            <a:off x="4783743" y="4684174"/>
            <a:ext cx="0" cy="216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21" name="Conector reto 40"/>
          <xdr:cNvCxnSpPr>
            <a:cxnSpLocks noChangeShapeType="1"/>
          </xdr:cNvCxnSpPr>
        </xdr:nvCxnSpPr>
        <xdr:spPr bwMode="auto">
          <a:xfrm>
            <a:off x="4606479" y="5870588"/>
            <a:ext cx="0" cy="33262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sp macro="" textlink="">
        <xdr:nvSpPr>
          <xdr:cNvPr id="22" name="CaixaDeTexto 21"/>
          <xdr:cNvSpPr txBox="1"/>
        </xdr:nvSpPr>
        <xdr:spPr>
          <a:xfrm rot="16200000">
            <a:off x="-283255" y="5111239"/>
            <a:ext cx="815534" cy="32205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ØB</a:t>
            </a:r>
          </a:p>
        </xdr:txBody>
      </xdr:sp>
      <xdr:sp macro="" textlink="">
        <xdr:nvSpPr>
          <xdr:cNvPr id="23" name="CaixaDeTexto 22"/>
          <xdr:cNvSpPr txBox="1"/>
        </xdr:nvSpPr>
        <xdr:spPr>
          <a:xfrm>
            <a:off x="2419021" y="5864684"/>
            <a:ext cx="355136" cy="32904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A</a:t>
            </a:r>
          </a:p>
        </xdr:txBody>
      </xdr:sp>
      <xdr:sp macro="" textlink="">
        <xdr:nvSpPr>
          <xdr:cNvPr id="24" name="CaixaDeTexto 23"/>
          <xdr:cNvSpPr txBox="1"/>
        </xdr:nvSpPr>
        <xdr:spPr>
          <a:xfrm rot="16200000">
            <a:off x="4337385" y="5073336"/>
            <a:ext cx="723209" cy="3363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ØE</a:t>
            </a:r>
          </a:p>
        </xdr:txBody>
      </xdr:sp>
      <xdr:sp macro="" textlink="">
        <xdr:nvSpPr>
          <xdr:cNvPr id="25" name="CaixaDeTexto 24"/>
          <xdr:cNvSpPr txBox="1"/>
        </xdr:nvSpPr>
        <xdr:spPr>
          <a:xfrm rot="16200000">
            <a:off x="4630729" y="5073513"/>
            <a:ext cx="723209" cy="3667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ØC</a:t>
            </a:r>
          </a:p>
        </xdr:txBody>
      </xdr:sp>
      <xdr:sp macro="" textlink="">
        <xdr:nvSpPr>
          <xdr:cNvPr id="26" name="Elipse 53"/>
          <xdr:cNvSpPr>
            <a:spLocks noChangeArrowheads="1"/>
          </xdr:cNvSpPr>
        </xdr:nvSpPr>
        <xdr:spPr bwMode="auto">
          <a:xfrm>
            <a:off x="4205654" y="5407270"/>
            <a:ext cx="476250" cy="483576"/>
          </a:xfrm>
          <a:prstGeom prst="ellipse">
            <a:avLst/>
          </a:prstGeom>
          <a:noFill/>
          <a:ln w="3175" algn="ctr">
            <a:solidFill>
              <a:srgbClr val="FF0000"/>
            </a:solidFill>
            <a:round/>
            <a:headEnd/>
            <a:tailEnd/>
          </a:ln>
        </xdr:spPr>
      </xdr:sp>
      <xdr:cxnSp macro="">
        <xdr:nvCxnSpPr>
          <xdr:cNvPr id="27" name="Conector reto 55"/>
          <xdr:cNvCxnSpPr>
            <a:cxnSpLocks noChangeShapeType="1"/>
          </xdr:cNvCxnSpPr>
        </xdr:nvCxnSpPr>
        <xdr:spPr bwMode="auto">
          <a:xfrm rot="5400000">
            <a:off x="2993288" y="5401680"/>
            <a:ext cx="0" cy="180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28" name="Conector reto 56"/>
          <xdr:cNvCxnSpPr>
            <a:cxnSpLocks noChangeShapeType="1"/>
          </xdr:cNvCxnSpPr>
        </xdr:nvCxnSpPr>
        <xdr:spPr bwMode="auto">
          <a:xfrm rot="5400000">
            <a:off x="2982082" y="4846552"/>
            <a:ext cx="0" cy="1800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cxnSp macro="">
        <xdr:nvCxnSpPr>
          <xdr:cNvPr id="29" name="Conector reto 57"/>
          <xdr:cNvCxnSpPr>
            <a:cxnSpLocks noChangeShapeType="1"/>
          </xdr:cNvCxnSpPr>
        </xdr:nvCxnSpPr>
        <xdr:spPr bwMode="auto">
          <a:xfrm>
            <a:off x="2936374" y="4931446"/>
            <a:ext cx="0" cy="561600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  <xdr:sp macro="" textlink="">
        <xdr:nvSpPr>
          <xdr:cNvPr id="30" name="CaixaDeTexto 29"/>
          <xdr:cNvSpPr txBox="1"/>
        </xdr:nvSpPr>
        <xdr:spPr>
          <a:xfrm rot="16200000">
            <a:off x="2344068" y="5072766"/>
            <a:ext cx="846307" cy="3374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ØG</a:t>
            </a:r>
          </a:p>
        </xdr:txBody>
      </xdr:sp>
    </xdr:grpSp>
    <xdr:clientData/>
  </xdr:twoCellAnchor>
  <xdr:twoCellAnchor>
    <xdr:from>
      <xdr:col>9</xdr:col>
      <xdr:colOff>523875</xdr:colOff>
      <xdr:row>13</xdr:row>
      <xdr:rowOff>133350</xdr:rowOff>
    </xdr:from>
    <xdr:to>
      <xdr:col>10</xdr:col>
      <xdr:colOff>685800</xdr:colOff>
      <xdr:row>18</xdr:row>
      <xdr:rowOff>133350</xdr:rowOff>
    </xdr:to>
    <xdr:grpSp>
      <xdr:nvGrpSpPr>
        <xdr:cNvPr id="31" name="Grupo 60"/>
        <xdr:cNvGrpSpPr>
          <a:grpSpLocks/>
        </xdr:cNvGrpSpPr>
      </xdr:nvGrpSpPr>
      <xdr:grpSpPr bwMode="auto">
        <a:xfrm>
          <a:off x="6819900" y="2867025"/>
          <a:ext cx="1000125" cy="971550"/>
          <a:chOff x="5567604" y="5149242"/>
          <a:chExt cx="1134643" cy="1493690"/>
        </a:xfrm>
      </xdr:grpSpPr>
      <xdr:pic>
        <xdr:nvPicPr>
          <xdr:cNvPr id="32" name="Picture 98654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lum bright="10000" contrast="20000"/>
          </a:blip>
          <a:srcRect l="68939" t="42957" r="15874" b="25294"/>
          <a:stretch>
            <a:fillRect/>
          </a:stretch>
        </xdr:blipFill>
        <xdr:spPr bwMode="auto">
          <a:xfrm>
            <a:off x="5567604" y="5308569"/>
            <a:ext cx="1134643" cy="1334363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33" name="Conector reto 28"/>
          <xdr:cNvCxnSpPr>
            <a:cxnSpLocks noChangeShapeType="1"/>
          </xdr:cNvCxnSpPr>
        </xdr:nvCxnSpPr>
        <xdr:spPr bwMode="auto">
          <a:xfrm>
            <a:off x="6386064" y="5536997"/>
            <a:ext cx="0" cy="665239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 type="triangle" w="sm" len="lg"/>
          </a:ln>
        </xdr:spPr>
      </xdr:cxnSp>
      <xdr:cxnSp macro="">
        <xdr:nvCxnSpPr>
          <xdr:cNvPr id="34" name="Conector reto 36"/>
          <xdr:cNvCxnSpPr>
            <a:cxnSpLocks noChangeShapeType="1"/>
          </xdr:cNvCxnSpPr>
        </xdr:nvCxnSpPr>
        <xdr:spPr bwMode="auto">
          <a:xfrm rot="5400000">
            <a:off x="6263446" y="6036735"/>
            <a:ext cx="0" cy="322707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/>
            <a:tailEnd/>
          </a:ln>
        </xdr:spPr>
      </xdr:cxnSp>
      <xdr:sp macro="" textlink="">
        <xdr:nvSpPr>
          <xdr:cNvPr id="35" name="CaixaDeTexto 34"/>
          <xdr:cNvSpPr txBox="1"/>
        </xdr:nvSpPr>
        <xdr:spPr>
          <a:xfrm rot="16200000">
            <a:off x="5865943" y="5412821"/>
            <a:ext cx="798117" cy="2709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ØF</a:t>
            </a:r>
          </a:p>
        </xdr:txBody>
      </xdr:sp>
    </xdr:grpSp>
    <xdr:clientData/>
  </xdr:twoCellAnchor>
  <xdr:twoCellAnchor>
    <xdr:from>
      <xdr:col>0</xdr:col>
      <xdr:colOff>111126</xdr:colOff>
      <xdr:row>0</xdr:row>
      <xdr:rowOff>63501</xdr:rowOff>
    </xdr:from>
    <xdr:to>
      <xdr:col>1</xdr:col>
      <xdr:colOff>635000</xdr:colOff>
      <xdr:row>2</xdr:row>
      <xdr:rowOff>137583</xdr:rowOff>
    </xdr:to>
    <xdr:pic>
      <xdr:nvPicPr>
        <xdr:cNvPr id="65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1126" y="63501"/>
          <a:ext cx="1365249" cy="4550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190502</xdr:colOff>
      <xdr:row>25</xdr:row>
      <xdr:rowOff>38100</xdr:rowOff>
    </xdr:from>
    <xdr:to>
      <xdr:col>13</xdr:col>
      <xdr:colOff>479651</xdr:colOff>
      <xdr:row>32</xdr:row>
      <xdr:rowOff>66675</xdr:rowOff>
    </xdr:to>
    <xdr:grpSp>
      <xdr:nvGrpSpPr>
        <xdr:cNvPr id="66" name="Grupo 65"/>
        <xdr:cNvGrpSpPr/>
      </xdr:nvGrpSpPr>
      <xdr:grpSpPr>
        <a:xfrm>
          <a:off x="6486527" y="5353050"/>
          <a:ext cx="3184749" cy="1362075"/>
          <a:chOff x="1791806" y="3881565"/>
          <a:chExt cx="4951893" cy="2519236"/>
        </a:xfrm>
      </xdr:grpSpPr>
      <xdr:grpSp>
        <xdr:nvGrpSpPr>
          <xdr:cNvPr id="67" name="Grupo 347"/>
          <xdr:cNvGrpSpPr>
            <a:grpSpLocks/>
          </xdr:cNvGrpSpPr>
        </xdr:nvGrpSpPr>
        <xdr:grpSpPr bwMode="auto">
          <a:xfrm>
            <a:off x="1791806" y="3881565"/>
            <a:ext cx="4951893" cy="2519236"/>
            <a:chOff x="1791808" y="3937518"/>
            <a:chExt cx="4951892" cy="2524932"/>
          </a:xfrm>
        </xdr:grpSpPr>
        <xdr:pic>
          <xdr:nvPicPr>
            <xdr:cNvPr id="71" name="Picture 98968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 cstate="print">
              <a:lum bright="10000" contrast="10000"/>
            </a:blip>
            <a:srcRect l="27383" t="31485" r="35410" b="52374"/>
            <a:stretch>
              <a:fillRect/>
            </a:stretch>
          </xdr:blipFill>
          <xdr:spPr bwMode="auto">
            <a:xfrm>
              <a:off x="2200274" y="5153025"/>
              <a:ext cx="3942725" cy="962025"/>
            </a:xfrm>
            <a:prstGeom prst="rect">
              <a:avLst/>
            </a:prstGeom>
            <a:noFill/>
            <a:ln w="1">
              <a:noFill/>
              <a:miter lim="800000"/>
              <a:headEnd/>
              <a:tailEnd/>
            </a:ln>
          </xdr:spPr>
        </xdr:pic>
        <xdr:grpSp>
          <xdr:nvGrpSpPr>
            <xdr:cNvPr id="72" name="Grupo 346"/>
            <xdr:cNvGrpSpPr>
              <a:grpSpLocks/>
            </xdr:cNvGrpSpPr>
          </xdr:nvGrpSpPr>
          <xdr:grpSpPr bwMode="auto">
            <a:xfrm>
              <a:off x="1791808" y="3937518"/>
              <a:ext cx="4951892" cy="2524932"/>
              <a:chOff x="1791808" y="3937518"/>
              <a:chExt cx="4951892" cy="2524932"/>
            </a:xfrm>
          </xdr:grpSpPr>
          <xdr:cxnSp macro="">
            <xdr:nvCxnSpPr>
              <xdr:cNvPr id="73" name="Conector reto 319"/>
              <xdr:cNvCxnSpPr>
                <a:cxnSpLocks noChangeShapeType="1"/>
              </xdr:cNvCxnSpPr>
            </xdr:nvCxnSpPr>
            <xdr:spPr bwMode="auto">
              <a:xfrm flipV="1">
                <a:off x="6057900" y="4357558"/>
                <a:ext cx="0" cy="934284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4" name="Conector reto 320"/>
              <xdr:cNvCxnSpPr>
                <a:cxnSpLocks noChangeShapeType="1"/>
              </xdr:cNvCxnSpPr>
            </xdr:nvCxnSpPr>
            <xdr:spPr bwMode="auto">
              <a:xfrm flipV="1">
                <a:off x="2314575" y="4375215"/>
                <a:ext cx="0" cy="867549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5" name="Conector reto 321"/>
              <xdr:cNvCxnSpPr>
                <a:cxnSpLocks noChangeShapeType="1"/>
              </xdr:cNvCxnSpPr>
            </xdr:nvCxnSpPr>
            <xdr:spPr bwMode="auto">
              <a:xfrm rot="5400000" flipV="1">
                <a:off x="3814399" y="3437593"/>
                <a:ext cx="0" cy="3050668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76" name="Conector reto 322"/>
              <xdr:cNvCxnSpPr>
                <a:cxnSpLocks noChangeShapeType="1"/>
              </xdr:cNvCxnSpPr>
            </xdr:nvCxnSpPr>
            <xdr:spPr bwMode="auto">
              <a:xfrm rot="5400000" flipV="1">
                <a:off x="2408775" y="5009100"/>
                <a:ext cx="0" cy="61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7" name="Conector reto 324"/>
              <xdr:cNvCxnSpPr>
                <a:cxnSpLocks noChangeShapeType="1"/>
              </xdr:cNvCxnSpPr>
            </xdr:nvCxnSpPr>
            <xdr:spPr bwMode="auto">
              <a:xfrm flipV="1">
                <a:off x="2152650" y="5305425"/>
                <a:ext cx="0" cy="6408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78" name="Conector reto 325"/>
              <xdr:cNvCxnSpPr>
                <a:cxnSpLocks noChangeShapeType="1"/>
              </xdr:cNvCxnSpPr>
            </xdr:nvCxnSpPr>
            <xdr:spPr bwMode="auto">
              <a:xfrm rot="5400000" flipV="1">
                <a:off x="2408775" y="5628225"/>
                <a:ext cx="0" cy="61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79" name="Conector reto 326"/>
              <xdr:cNvCxnSpPr>
                <a:cxnSpLocks noChangeShapeType="1"/>
              </xdr:cNvCxnSpPr>
            </xdr:nvCxnSpPr>
            <xdr:spPr bwMode="auto">
              <a:xfrm rot="5400000" flipV="1">
                <a:off x="6167700" y="4643700"/>
                <a:ext cx="0" cy="115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0" name="Conector reto 327"/>
              <xdr:cNvCxnSpPr>
                <a:cxnSpLocks noChangeShapeType="1"/>
              </xdr:cNvCxnSpPr>
            </xdr:nvCxnSpPr>
            <xdr:spPr bwMode="auto">
              <a:xfrm flipV="1">
                <a:off x="5400675" y="6057900"/>
                <a:ext cx="0" cy="396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1" name="Conector reto 328"/>
              <xdr:cNvCxnSpPr>
                <a:cxnSpLocks noChangeShapeType="1"/>
              </xdr:cNvCxnSpPr>
            </xdr:nvCxnSpPr>
            <xdr:spPr bwMode="auto">
              <a:xfrm flipV="1">
                <a:off x="6048375" y="5886450"/>
                <a:ext cx="0" cy="576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2" name="Conector reto 329"/>
              <xdr:cNvCxnSpPr>
                <a:cxnSpLocks noChangeShapeType="1"/>
              </xdr:cNvCxnSpPr>
            </xdr:nvCxnSpPr>
            <xdr:spPr bwMode="auto">
              <a:xfrm rot="5400000" flipV="1">
                <a:off x="5722350" y="6084300"/>
                <a:ext cx="0" cy="648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3" name="Conector reto 330"/>
              <xdr:cNvCxnSpPr>
                <a:cxnSpLocks noChangeShapeType="1"/>
              </xdr:cNvCxnSpPr>
            </xdr:nvCxnSpPr>
            <xdr:spPr bwMode="auto">
              <a:xfrm rot="10800000" flipV="1">
                <a:off x="6374100" y="5269350"/>
                <a:ext cx="0" cy="720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4" name="Conector reto 331"/>
              <xdr:cNvCxnSpPr>
                <a:cxnSpLocks noChangeShapeType="1"/>
              </xdr:cNvCxnSpPr>
            </xdr:nvCxnSpPr>
            <xdr:spPr bwMode="auto">
              <a:xfrm rot="5400000" flipV="1">
                <a:off x="6203850" y="5051325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5" name="Conector reto 332"/>
              <xdr:cNvCxnSpPr>
                <a:cxnSpLocks noChangeShapeType="1"/>
              </xdr:cNvCxnSpPr>
            </xdr:nvCxnSpPr>
            <xdr:spPr bwMode="auto">
              <a:xfrm rot="5400000" flipV="1">
                <a:off x="6203850" y="57657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6" name="Conector reto 333"/>
              <xdr:cNvCxnSpPr>
                <a:cxnSpLocks noChangeShapeType="1"/>
              </xdr:cNvCxnSpPr>
            </xdr:nvCxnSpPr>
            <xdr:spPr bwMode="auto">
              <a:xfrm rot="5400000" flipV="1">
                <a:off x="6167700" y="5443800"/>
                <a:ext cx="0" cy="115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7" name="Conector reto 334"/>
              <xdr:cNvCxnSpPr>
                <a:cxnSpLocks noChangeShapeType="1"/>
              </xdr:cNvCxnSpPr>
            </xdr:nvCxnSpPr>
            <xdr:spPr bwMode="auto">
              <a:xfrm rot="10800000" flipV="1">
                <a:off x="6707475" y="5225925"/>
                <a:ext cx="0" cy="79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cxnSp macro="">
            <xdr:nvCxnSpPr>
              <xdr:cNvPr id="88" name="Conector reto 335"/>
              <xdr:cNvCxnSpPr>
                <a:cxnSpLocks noChangeShapeType="1"/>
              </xdr:cNvCxnSpPr>
            </xdr:nvCxnSpPr>
            <xdr:spPr bwMode="auto">
              <a:xfrm flipV="1">
                <a:off x="5410200" y="4905375"/>
                <a:ext cx="0" cy="288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89" name="Conector reto 336"/>
              <xdr:cNvCxnSpPr>
                <a:cxnSpLocks noChangeShapeType="1"/>
              </xdr:cNvCxnSpPr>
            </xdr:nvCxnSpPr>
            <xdr:spPr bwMode="auto">
              <a:xfrm flipV="1">
                <a:off x="5295900" y="4905375"/>
                <a:ext cx="0" cy="34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90" name="Conector reto 337"/>
              <xdr:cNvCxnSpPr>
                <a:cxnSpLocks noChangeShapeType="1"/>
              </xdr:cNvCxnSpPr>
            </xdr:nvCxnSpPr>
            <xdr:spPr bwMode="auto">
              <a:xfrm rot="5400000" flipV="1">
                <a:off x="5356125" y="47370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/>
                <a:tailEnd/>
              </a:ln>
            </xdr:spPr>
          </xdr:cxnSp>
          <xdr:cxnSp macro="">
            <xdr:nvCxnSpPr>
              <xdr:cNvPr id="91" name="Conector reto 338"/>
              <xdr:cNvCxnSpPr>
                <a:cxnSpLocks noChangeShapeType="1"/>
              </xdr:cNvCxnSpPr>
            </xdr:nvCxnSpPr>
            <xdr:spPr bwMode="auto">
              <a:xfrm rot="5400000" flipV="1">
                <a:off x="5632350" y="4737000"/>
                <a:ext cx="0" cy="432000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/>
              </a:ln>
            </xdr:spPr>
          </xdr:cxnSp>
          <xdr:sp macro="" textlink="">
            <xdr:nvSpPr>
              <xdr:cNvPr id="93" name="CaixaDeTexto 92"/>
              <xdr:cNvSpPr txBox="1"/>
            </xdr:nvSpPr>
            <xdr:spPr>
              <a:xfrm>
                <a:off x="3912744" y="3937518"/>
                <a:ext cx="441227" cy="65718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A</a:t>
                </a:r>
              </a:p>
            </xdr:txBody>
          </xdr:sp>
          <xdr:sp macro="" textlink="">
            <xdr:nvSpPr>
              <xdr:cNvPr id="94" name="CaixaDeTexto 93"/>
              <xdr:cNvSpPr txBox="1"/>
            </xdr:nvSpPr>
            <xdr:spPr>
              <a:xfrm>
                <a:off x="5420307" y="6073997"/>
                <a:ext cx="622029" cy="33548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B</a:t>
                </a:r>
              </a:p>
            </xdr:txBody>
          </xdr:sp>
          <xdr:sp macro="" textlink="">
            <xdr:nvSpPr>
              <xdr:cNvPr id="95" name="CaixaDeTexto 94"/>
              <xdr:cNvSpPr txBox="1"/>
            </xdr:nvSpPr>
            <xdr:spPr>
              <a:xfrm>
                <a:off x="5586935" y="4573167"/>
                <a:ext cx="351729" cy="491181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C</a:t>
                </a:r>
              </a:p>
            </xdr:txBody>
          </xdr:sp>
          <xdr:sp macro="" textlink="">
            <xdr:nvSpPr>
              <xdr:cNvPr id="96" name="CaixaDeTexto 95"/>
              <xdr:cNvSpPr txBox="1"/>
            </xdr:nvSpPr>
            <xdr:spPr>
              <a:xfrm rot="16200000">
                <a:off x="5838291" y="5441906"/>
                <a:ext cx="706274" cy="416657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ØD</a:t>
                </a:r>
              </a:p>
            </xdr:txBody>
          </xdr:sp>
          <xdr:sp macro="" textlink="">
            <xdr:nvSpPr>
              <xdr:cNvPr id="97" name="CaixaDeTexto 96"/>
              <xdr:cNvSpPr txBox="1"/>
            </xdr:nvSpPr>
            <xdr:spPr>
              <a:xfrm rot="16200000">
                <a:off x="6150029" y="5447449"/>
                <a:ext cx="776900" cy="37025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ØE</a:t>
                </a:r>
              </a:p>
            </xdr:txBody>
          </xdr:sp>
          <xdr:sp macro="" textlink="">
            <xdr:nvSpPr>
              <xdr:cNvPr id="98" name="CaixaDeTexto 97"/>
              <xdr:cNvSpPr txBox="1"/>
            </xdr:nvSpPr>
            <xdr:spPr>
              <a:xfrm rot="16200000">
                <a:off x="1562754" y="5437867"/>
                <a:ext cx="847529" cy="38942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ØF</a:t>
                </a:r>
              </a:p>
            </xdr:txBody>
          </xdr:sp>
          <xdr:sp macro="" textlink="">
            <xdr:nvSpPr>
              <xdr:cNvPr id="99" name="CaixaDeTexto 98"/>
              <xdr:cNvSpPr txBox="1"/>
            </xdr:nvSpPr>
            <xdr:spPr>
              <a:xfrm rot="16200000">
                <a:off x="4322653" y="5612082"/>
                <a:ext cx="829870" cy="41178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ØG</a:t>
                </a:r>
              </a:p>
            </xdr:txBody>
          </xdr:sp>
          <xdr:cxnSp macro="">
            <xdr:nvCxnSpPr>
              <xdr:cNvPr id="119" name="Conector reto 321"/>
              <xdr:cNvCxnSpPr>
                <a:cxnSpLocks noChangeShapeType="1"/>
              </xdr:cNvCxnSpPr>
            </xdr:nvCxnSpPr>
            <xdr:spPr bwMode="auto">
              <a:xfrm rot="5400000" flipV="1">
                <a:off x="4190252" y="2593353"/>
                <a:ext cx="0" cy="3750363"/>
              </a:xfrm>
              <a:prstGeom prst="line">
                <a:avLst/>
              </a:prstGeom>
              <a:noFill/>
              <a:ln w="3175" algn="ctr">
                <a:solidFill>
                  <a:srgbClr val="0000FF"/>
                </a:solidFill>
                <a:round/>
                <a:headEnd type="triangle" w="sm" len="lg"/>
                <a:tailEnd type="triangle" w="sm" len="lg"/>
              </a:ln>
            </xdr:spPr>
          </xdr:cxnSp>
          <xdr:sp macro="" textlink="">
            <xdr:nvSpPr>
              <xdr:cNvPr id="120" name="CaixaDeTexto 119"/>
              <xdr:cNvSpPr txBox="1"/>
            </xdr:nvSpPr>
            <xdr:spPr>
              <a:xfrm>
                <a:off x="3912744" y="4449567"/>
                <a:ext cx="441227" cy="65719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100" b="1">
                    <a:solidFill>
                      <a:srgbClr val="0000FF"/>
                    </a:solidFill>
                  </a:rPr>
                  <a:t>H</a:t>
                </a:r>
              </a:p>
            </xdr:txBody>
          </xdr:sp>
        </xdr:grpSp>
      </xdr:grpSp>
      <xdr:cxnSp macro="">
        <xdr:nvCxnSpPr>
          <xdr:cNvPr id="68" name="Conector reto 67"/>
          <xdr:cNvCxnSpPr/>
        </xdr:nvCxnSpPr>
        <xdr:spPr bwMode="auto">
          <a:xfrm flipH="1">
            <a:off x="4829175" y="5257800"/>
            <a:ext cx="438150" cy="219075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69" name="Conector reto 68"/>
          <xdr:cNvCxnSpPr/>
        </xdr:nvCxnSpPr>
        <xdr:spPr bwMode="auto">
          <a:xfrm flipH="1">
            <a:off x="4838700" y="5886450"/>
            <a:ext cx="438150" cy="219075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0" name="Conector reto 69"/>
          <xdr:cNvCxnSpPr/>
        </xdr:nvCxnSpPr>
        <xdr:spPr bwMode="auto">
          <a:xfrm rot="5400000" flipH="1">
            <a:off x="4594612" y="5759062"/>
            <a:ext cx="612000" cy="0"/>
          </a:xfrm>
          <a:prstGeom prst="line">
            <a:avLst/>
          </a:prstGeom>
          <a:solidFill>
            <a:srgbClr val="FFFFFF"/>
          </a:solidFill>
          <a:ln w="3175" cap="flat" cmpd="sng" algn="ctr">
            <a:solidFill>
              <a:srgbClr val="0000FF"/>
            </a:solidFill>
            <a:prstDash val="solid"/>
            <a:round/>
            <a:headEnd type="triangle" w="sm" len="lg"/>
            <a:tailEnd type="triangle" w="sm" len="lg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9</xdr:col>
      <xdr:colOff>95250</xdr:colOff>
      <xdr:row>43</xdr:row>
      <xdr:rowOff>0</xdr:rowOff>
    </xdr:from>
    <xdr:to>
      <xdr:col>13</xdr:col>
      <xdr:colOff>522721</xdr:colOff>
      <xdr:row>49</xdr:row>
      <xdr:rowOff>104775</xdr:rowOff>
    </xdr:to>
    <xdr:grpSp>
      <xdr:nvGrpSpPr>
        <xdr:cNvPr id="134" name="Grupo 133"/>
        <xdr:cNvGrpSpPr/>
      </xdr:nvGrpSpPr>
      <xdr:grpSpPr>
        <a:xfrm>
          <a:off x="6391275" y="9048750"/>
          <a:ext cx="3323071" cy="1247775"/>
          <a:chOff x="1029628" y="4478990"/>
          <a:chExt cx="4992955" cy="1811432"/>
        </a:xfrm>
      </xdr:grpSpPr>
      <xdr:grpSp>
        <xdr:nvGrpSpPr>
          <xdr:cNvPr id="135" name="Grupo 69"/>
          <xdr:cNvGrpSpPr/>
        </xdr:nvGrpSpPr>
        <xdr:grpSpPr>
          <a:xfrm>
            <a:off x="1029628" y="4478990"/>
            <a:ext cx="4992955" cy="1811432"/>
            <a:chOff x="1029617" y="4509406"/>
            <a:chExt cx="5007406" cy="1881869"/>
          </a:xfrm>
        </xdr:grpSpPr>
        <xdr:sp macro="" textlink="">
          <xdr:nvSpPr>
            <xdr:cNvPr id="138" name="CaixaDeTexto 137"/>
            <xdr:cNvSpPr txBox="1"/>
          </xdr:nvSpPr>
          <xdr:spPr>
            <a:xfrm>
              <a:off x="3808640" y="4811933"/>
              <a:ext cx="315686" cy="2884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100" b="1">
                  <a:solidFill>
                    <a:srgbClr val="0000FF"/>
                  </a:solidFill>
                </a:rPr>
                <a:t>A</a:t>
              </a:r>
            </a:p>
          </xdr:txBody>
        </xdr:sp>
        <xdr:grpSp>
          <xdr:nvGrpSpPr>
            <xdr:cNvPr id="139" name="Grupo 68"/>
            <xdr:cNvGrpSpPr/>
          </xdr:nvGrpSpPr>
          <xdr:grpSpPr>
            <a:xfrm>
              <a:off x="1029617" y="4509406"/>
              <a:ext cx="5007406" cy="1881869"/>
              <a:chOff x="1029617" y="4509406"/>
              <a:chExt cx="5007406" cy="1881869"/>
            </a:xfrm>
          </xdr:grpSpPr>
          <xdr:pic>
            <xdr:nvPicPr>
              <xdr:cNvPr id="140" name="Picture 100450"/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6" cstate="print">
                <a:lum bright="10000" contrast="10000"/>
              </a:blip>
              <a:srcRect l="12650" t="39952" r="41512" b="30943"/>
              <a:stretch>
                <a:fillRect/>
              </a:stretch>
            </xdr:blipFill>
            <xdr:spPr bwMode="auto">
              <a:xfrm>
                <a:off x="2758168" y="5335361"/>
                <a:ext cx="2941864" cy="1055914"/>
              </a:xfrm>
              <a:prstGeom prst="rect">
                <a:avLst/>
              </a:prstGeom>
              <a:noFill/>
              <a:ln w="1">
                <a:noFill/>
                <a:miter lim="800000"/>
                <a:headEnd/>
                <a:tailEnd/>
              </a:ln>
            </xdr:spPr>
          </xdr:pic>
          <xdr:grpSp>
            <xdr:nvGrpSpPr>
              <xdr:cNvPr id="141" name="Grupo 67"/>
              <xdr:cNvGrpSpPr/>
            </xdr:nvGrpSpPr>
            <xdr:grpSpPr>
              <a:xfrm>
                <a:off x="1029617" y="4509406"/>
                <a:ext cx="5007406" cy="1834003"/>
                <a:chOff x="1029635" y="4510454"/>
                <a:chExt cx="4980640" cy="1811215"/>
              </a:xfrm>
            </xdr:grpSpPr>
            <xdr:cxnSp macro="">
              <xdr:nvCxnSpPr>
                <xdr:cNvPr id="142" name="Conector reto 182"/>
                <xdr:cNvCxnSpPr>
                  <a:cxnSpLocks noChangeShapeType="1"/>
                </xdr:cNvCxnSpPr>
              </xdr:nvCxnSpPr>
              <xdr:spPr bwMode="auto">
                <a:xfrm flipV="1">
                  <a:off x="2797419" y="4709746"/>
                  <a:ext cx="0" cy="78691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3" name="Conector reto 183"/>
                <xdr:cNvCxnSpPr>
                  <a:cxnSpLocks noChangeShapeType="1"/>
                </xdr:cNvCxnSpPr>
              </xdr:nvCxnSpPr>
              <xdr:spPr bwMode="auto">
                <a:xfrm flipV="1">
                  <a:off x="5583848" y="4719271"/>
                  <a:ext cx="0" cy="86311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4" name="Conector reto 184"/>
                <xdr:cNvCxnSpPr>
                  <a:cxnSpLocks noChangeShapeType="1"/>
                </xdr:cNvCxnSpPr>
              </xdr:nvCxnSpPr>
              <xdr:spPr bwMode="auto">
                <a:xfrm rot="5400000" flipV="1">
                  <a:off x="4190634" y="3383206"/>
                  <a:ext cx="0" cy="276737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5" name="Conector reto 185"/>
                <xdr:cNvCxnSpPr>
                  <a:cxnSpLocks noChangeShapeType="1"/>
                </xdr:cNvCxnSpPr>
              </xdr:nvCxnSpPr>
              <xdr:spPr bwMode="auto">
                <a:xfrm flipV="1">
                  <a:off x="3881804" y="5070231"/>
                  <a:ext cx="0" cy="2842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6" name="Conector reto 186"/>
                <xdr:cNvCxnSpPr>
                  <a:cxnSpLocks noChangeShapeType="1"/>
                </xdr:cNvCxnSpPr>
              </xdr:nvCxnSpPr>
              <xdr:spPr bwMode="auto">
                <a:xfrm flipV="1">
                  <a:off x="4015154" y="5070231"/>
                  <a:ext cx="0" cy="28428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cxnSp macro="">
              <xdr:nvCxnSpPr>
                <xdr:cNvPr id="147" name="Conector reto 187"/>
                <xdr:cNvCxnSpPr>
                  <a:cxnSpLocks noChangeShapeType="1"/>
                </xdr:cNvCxnSpPr>
              </xdr:nvCxnSpPr>
              <xdr:spPr bwMode="auto">
                <a:xfrm rot="5400000" flipV="1">
                  <a:off x="4804264" y="4347796"/>
                  <a:ext cx="0" cy="15591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8" name="Conector reto 188"/>
                <xdr:cNvCxnSpPr>
                  <a:cxnSpLocks noChangeShapeType="1"/>
                </xdr:cNvCxnSpPr>
              </xdr:nvCxnSpPr>
              <xdr:spPr bwMode="auto">
                <a:xfrm flipV="1">
                  <a:off x="2806944" y="5127381"/>
                  <a:ext cx="1074860" cy="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49" name="Conector reto 189"/>
                <xdr:cNvCxnSpPr>
                  <a:cxnSpLocks noChangeShapeType="1"/>
                </xdr:cNvCxnSpPr>
              </xdr:nvCxnSpPr>
              <xdr:spPr bwMode="auto">
                <a:xfrm rot="5400000" flipV="1">
                  <a:off x="4000500" y="4875335"/>
                  <a:ext cx="0" cy="50409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0" name="Conector reto 190"/>
                <xdr:cNvCxnSpPr>
                  <a:cxnSpLocks noChangeShapeType="1"/>
                </xdr:cNvCxnSpPr>
              </xdr:nvCxnSpPr>
              <xdr:spPr bwMode="auto">
                <a:xfrm rot="5400000" flipV="1">
                  <a:off x="2488590" y="5273553"/>
                  <a:ext cx="0" cy="50335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1" name="Conector reto 191"/>
                <xdr:cNvCxnSpPr>
                  <a:cxnSpLocks noChangeShapeType="1"/>
                </xdr:cNvCxnSpPr>
              </xdr:nvCxnSpPr>
              <xdr:spPr bwMode="auto">
                <a:xfrm rot="5400000" flipV="1">
                  <a:off x="2479431" y="5927481"/>
                  <a:ext cx="0" cy="50409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2" name="Conector reto 192"/>
                <xdr:cNvCxnSpPr>
                  <a:cxnSpLocks noChangeShapeType="1"/>
                </xdr:cNvCxnSpPr>
              </xdr:nvCxnSpPr>
              <xdr:spPr bwMode="auto">
                <a:xfrm>
                  <a:off x="3549162" y="5335465"/>
                  <a:ext cx="227867" cy="142143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3" name="Conector reto 195"/>
                <xdr:cNvCxnSpPr>
                  <a:cxnSpLocks noChangeShapeType="1"/>
                </xdr:cNvCxnSpPr>
              </xdr:nvCxnSpPr>
              <xdr:spPr bwMode="auto">
                <a:xfrm>
                  <a:off x="3549162" y="6037385"/>
                  <a:ext cx="227867" cy="14214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4" name="Conector reto 196"/>
                <xdr:cNvCxnSpPr>
                  <a:cxnSpLocks noChangeShapeType="1"/>
                </xdr:cNvCxnSpPr>
              </xdr:nvCxnSpPr>
              <xdr:spPr bwMode="auto">
                <a:xfrm rot="5400000" flipV="1">
                  <a:off x="2436568" y="4802432"/>
                  <a:ext cx="0" cy="136940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5" name="Conector reto 197"/>
                <xdr:cNvCxnSpPr>
                  <a:cxnSpLocks noChangeShapeType="1"/>
                </xdr:cNvCxnSpPr>
              </xdr:nvCxnSpPr>
              <xdr:spPr bwMode="auto">
                <a:xfrm rot="5400000" flipV="1">
                  <a:off x="2521927" y="4089888"/>
                  <a:ext cx="0" cy="258640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6" name="Conector reto 198"/>
                <xdr:cNvCxnSpPr>
                  <a:cxnSpLocks noChangeShapeType="1"/>
                </xdr:cNvCxnSpPr>
              </xdr:nvCxnSpPr>
              <xdr:spPr bwMode="auto">
                <a:xfrm rot="5400000" flipV="1">
                  <a:off x="2417518" y="5532926"/>
                  <a:ext cx="0" cy="1369402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7" name="Conector reto 199"/>
                <xdr:cNvCxnSpPr>
                  <a:cxnSpLocks noChangeShapeType="1"/>
                </xdr:cNvCxnSpPr>
              </xdr:nvCxnSpPr>
              <xdr:spPr bwMode="auto">
                <a:xfrm rot="5400000" flipV="1">
                  <a:off x="2502877" y="5018942"/>
                  <a:ext cx="0" cy="258640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58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2302852" y="5534758"/>
                  <a:ext cx="0" cy="6447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59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818542" y="5496658"/>
                  <a:ext cx="0" cy="720969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0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328703" y="5392615"/>
                  <a:ext cx="0" cy="92905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1" name="Conector reto 203"/>
                <xdr:cNvCxnSpPr>
                  <a:cxnSpLocks noChangeShapeType="1"/>
                </xdr:cNvCxnSpPr>
              </xdr:nvCxnSpPr>
              <xdr:spPr bwMode="auto">
                <a:xfrm flipV="1">
                  <a:off x="3596787" y="5344990"/>
                  <a:ext cx="0" cy="720970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2" name="Conector reto 204"/>
                <xdr:cNvCxnSpPr>
                  <a:cxnSpLocks noChangeShapeType="1"/>
                </xdr:cNvCxnSpPr>
              </xdr:nvCxnSpPr>
              <xdr:spPr bwMode="auto">
                <a:xfrm rot="5400000" flipV="1">
                  <a:off x="5778012" y="5890113"/>
                  <a:ext cx="0" cy="464527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none" w="sm" len="lg"/>
                  <a:tailEnd type="none" w="sm" len="lg"/>
                </a:ln>
              </xdr:spPr>
            </xdr:cxnSp>
            <xdr:cxnSp macro="">
              <xdr:nvCxnSpPr>
                <xdr:cNvPr id="163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5943600" y="5582383"/>
                  <a:ext cx="0" cy="539994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 type="triangle" w="sm" len="lg"/>
                  <a:tailEnd type="triangle" w="sm" len="lg"/>
                </a:ln>
              </xdr:spPr>
            </xdr:cxnSp>
            <xdr:cxnSp macro="">
              <xdr:nvCxnSpPr>
                <xdr:cNvPr id="164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5251206" y="5325940"/>
                  <a:ext cx="0" cy="218343"/>
                </a:xfrm>
                <a:prstGeom prst="line">
                  <a:avLst/>
                </a:prstGeom>
                <a:noFill/>
                <a:ln w="3175" algn="ctr">
                  <a:solidFill>
                    <a:srgbClr val="0000FF"/>
                  </a:solidFill>
                  <a:round/>
                  <a:headEnd/>
                  <a:tailEnd/>
                </a:ln>
              </xdr:spPr>
            </xdr:cxnSp>
            <xdr:sp macro="" textlink="">
              <xdr:nvSpPr>
                <xdr:cNvPr id="165" name="CaixaDeTexto 164"/>
                <xdr:cNvSpPr txBox="1"/>
              </xdr:nvSpPr>
              <xdr:spPr>
                <a:xfrm>
                  <a:off x="4680438" y="4851888"/>
                  <a:ext cx="313593" cy="2842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J</a:t>
                  </a:r>
                </a:p>
              </xdr:txBody>
            </xdr:sp>
            <xdr:sp macro="" textlink="">
              <xdr:nvSpPr>
                <xdr:cNvPr id="166" name="CaixaDeTexto 165"/>
                <xdr:cNvSpPr txBox="1"/>
              </xdr:nvSpPr>
              <xdr:spPr>
                <a:xfrm>
                  <a:off x="4081096" y="4510454"/>
                  <a:ext cx="314325" cy="285017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K</a:t>
                  </a:r>
                </a:p>
              </xdr:txBody>
            </xdr:sp>
            <xdr:sp macro="" textlink="">
              <xdr:nvSpPr>
                <xdr:cNvPr id="168" name="CaixaDeTexto 167"/>
                <xdr:cNvSpPr txBox="1"/>
              </xdr:nvSpPr>
              <xdr:spPr>
                <a:xfrm rot="16200000">
                  <a:off x="934155" y="5654051"/>
                  <a:ext cx="563809" cy="372849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ØI</a:t>
                  </a:r>
                </a:p>
              </xdr:txBody>
            </xdr:sp>
            <xdr:sp macro="" textlink="">
              <xdr:nvSpPr>
                <xdr:cNvPr id="169" name="CaixaDeTexto 168"/>
                <xdr:cNvSpPr txBox="1"/>
              </xdr:nvSpPr>
              <xdr:spPr>
                <a:xfrm rot="16200000">
                  <a:off x="1307094" y="5666531"/>
                  <a:ext cx="713114" cy="36089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ØG</a:t>
                  </a:r>
                </a:p>
              </xdr:txBody>
            </xdr:sp>
            <xdr:sp macro="" textlink="">
              <xdr:nvSpPr>
                <xdr:cNvPr id="170" name="CaixaDeTexto 169"/>
                <xdr:cNvSpPr txBox="1"/>
              </xdr:nvSpPr>
              <xdr:spPr>
                <a:xfrm rot="16200000">
                  <a:off x="1818235" y="5663007"/>
                  <a:ext cx="646144" cy="38212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ØH</a:t>
                  </a:r>
                </a:p>
              </xdr:txBody>
            </xdr:sp>
            <xdr:sp macro="" textlink="">
              <xdr:nvSpPr>
                <xdr:cNvPr id="171" name="CaixaDeTexto 170"/>
                <xdr:cNvSpPr txBox="1"/>
              </xdr:nvSpPr>
              <xdr:spPr>
                <a:xfrm rot="16200000">
                  <a:off x="3097317" y="5540647"/>
                  <a:ext cx="706483" cy="3591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ØF</a:t>
                  </a:r>
                </a:p>
              </xdr:txBody>
            </xdr:sp>
            <xdr:sp macro="" textlink="">
              <xdr:nvSpPr>
                <xdr:cNvPr id="172" name="CaixaDeTexto 171"/>
                <xdr:cNvSpPr txBox="1"/>
              </xdr:nvSpPr>
              <xdr:spPr>
                <a:xfrm rot="16200000">
                  <a:off x="5448491" y="5724514"/>
                  <a:ext cx="652596" cy="29576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ØB</a:t>
                  </a:r>
                </a:p>
              </xdr:txBody>
            </xdr:sp>
            <xdr:sp macro="" textlink="">
              <xdr:nvSpPr>
                <xdr:cNvPr id="183" name="CaixaDeTexto 182"/>
                <xdr:cNvSpPr txBox="1"/>
              </xdr:nvSpPr>
              <xdr:spPr>
                <a:xfrm>
                  <a:off x="5260729" y="5096067"/>
                  <a:ext cx="351256" cy="362108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E</a:t>
                  </a:r>
                </a:p>
              </xdr:txBody>
            </xdr:sp>
            <xdr:sp macro="" textlink="">
              <xdr:nvSpPr>
                <xdr:cNvPr id="184" name="CaixaDeTexto 183"/>
                <xdr:cNvSpPr txBox="1"/>
              </xdr:nvSpPr>
              <xdr:spPr>
                <a:xfrm>
                  <a:off x="3215787" y="4851888"/>
                  <a:ext cx="314325" cy="28428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pt-BR" sz="1100" b="1">
                      <a:solidFill>
                        <a:srgbClr val="0000FF"/>
                      </a:solidFill>
                    </a:rPr>
                    <a:t>L</a:t>
                  </a:r>
                </a:p>
              </xdr:txBody>
            </xdr:sp>
          </xdr:grpSp>
        </xdr:grpSp>
      </xdr:grpSp>
      <xdr:cxnSp macro="">
        <xdr:nvCxnSpPr>
          <xdr:cNvPr id="136" name="Conector reto 205"/>
          <xdr:cNvCxnSpPr>
            <a:cxnSpLocks noChangeShapeType="1"/>
          </xdr:cNvCxnSpPr>
        </xdr:nvCxnSpPr>
        <xdr:spPr bwMode="auto">
          <a:xfrm rot="5400000" flipV="1">
            <a:off x="5780555" y="5312708"/>
            <a:ext cx="0" cy="424703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137" name="Conector reto 208"/>
          <xdr:cNvCxnSpPr>
            <a:cxnSpLocks noChangeShapeType="1"/>
          </xdr:cNvCxnSpPr>
        </xdr:nvCxnSpPr>
        <xdr:spPr bwMode="auto">
          <a:xfrm rot="5400000" flipV="1">
            <a:off x="5434573" y="5211830"/>
            <a:ext cx="0" cy="343459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triangle" w="sm" len="lg"/>
            <a:tailEnd type="triangle" w="sm" len="lg"/>
          </a:ln>
        </xdr:spPr>
      </xdr:cxnSp>
    </xdr:grpSp>
    <xdr:clientData/>
  </xdr:twoCellAnchor>
  <xdr:twoCellAnchor>
    <xdr:from>
      <xdr:col>10</xdr:col>
      <xdr:colOff>828674</xdr:colOff>
      <xdr:row>50</xdr:row>
      <xdr:rowOff>38100</xdr:rowOff>
    </xdr:from>
    <xdr:to>
      <xdr:col>12</xdr:col>
      <xdr:colOff>47625</xdr:colOff>
      <xdr:row>56</xdr:row>
      <xdr:rowOff>9525</xdr:rowOff>
    </xdr:to>
    <xdr:grpSp>
      <xdr:nvGrpSpPr>
        <xdr:cNvPr id="192" name="Grupo 67"/>
        <xdr:cNvGrpSpPr/>
      </xdr:nvGrpSpPr>
      <xdr:grpSpPr>
        <a:xfrm>
          <a:off x="7962899" y="10420350"/>
          <a:ext cx="666751" cy="1114425"/>
          <a:chOff x="6676292" y="4711823"/>
          <a:chExt cx="978877" cy="1628896"/>
        </a:xfrm>
      </xdr:grpSpPr>
      <xdr:pic>
        <xdr:nvPicPr>
          <xdr:cNvPr id="218" name="Picture 100654"/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lum bright="10000" contrast="10000"/>
          </a:blip>
          <a:srcRect l="28873" t="28841" r="42255" b="19830"/>
          <a:stretch>
            <a:fillRect/>
          </a:stretch>
        </xdr:blipFill>
        <xdr:spPr bwMode="auto">
          <a:xfrm>
            <a:off x="6676292" y="5364040"/>
            <a:ext cx="978877" cy="976679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28" name="Conector reto 222"/>
          <xdr:cNvCxnSpPr>
            <a:cxnSpLocks noChangeShapeType="1"/>
          </xdr:cNvCxnSpPr>
        </xdr:nvCxnSpPr>
        <xdr:spPr bwMode="auto">
          <a:xfrm flipV="1">
            <a:off x="7066085" y="5013081"/>
            <a:ext cx="0" cy="74954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29" name="Conector reto 223"/>
          <xdr:cNvCxnSpPr>
            <a:cxnSpLocks noChangeShapeType="1"/>
          </xdr:cNvCxnSpPr>
        </xdr:nvCxnSpPr>
        <xdr:spPr bwMode="auto">
          <a:xfrm flipV="1">
            <a:off x="7285160" y="5013081"/>
            <a:ext cx="0" cy="74954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30" name="Conector reto 224"/>
          <xdr:cNvCxnSpPr>
            <a:cxnSpLocks noChangeShapeType="1"/>
          </xdr:cNvCxnSpPr>
        </xdr:nvCxnSpPr>
        <xdr:spPr bwMode="auto">
          <a:xfrm rot="5400000" flipV="1">
            <a:off x="7179652" y="4880464"/>
            <a:ext cx="0" cy="34143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none" w="sm" len="lg"/>
          </a:ln>
        </xdr:spPr>
      </xdr:cxnSp>
      <xdr:cxnSp macro="">
        <xdr:nvCxnSpPr>
          <xdr:cNvPr id="231" name="Conector reto 225"/>
          <xdr:cNvCxnSpPr>
            <a:cxnSpLocks noChangeShapeType="1"/>
          </xdr:cNvCxnSpPr>
        </xdr:nvCxnSpPr>
        <xdr:spPr bwMode="auto">
          <a:xfrm rot="5400000" flipV="1">
            <a:off x="6895001" y="4880097"/>
            <a:ext cx="0" cy="342168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triangle" w="sm" len="lg"/>
          </a:ln>
        </xdr:spPr>
      </xdr:cxnSp>
      <xdr:cxnSp macro="">
        <xdr:nvCxnSpPr>
          <xdr:cNvPr id="232" name="Conector reto 226"/>
          <xdr:cNvCxnSpPr>
            <a:cxnSpLocks noChangeShapeType="1"/>
          </xdr:cNvCxnSpPr>
        </xdr:nvCxnSpPr>
        <xdr:spPr bwMode="auto">
          <a:xfrm rot="-5400000" flipH="1" flipV="1">
            <a:off x="7465402" y="4880464"/>
            <a:ext cx="0" cy="341434"/>
          </a:xfrm>
          <a:prstGeom prst="line">
            <a:avLst/>
          </a:prstGeom>
          <a:noFill/>
          <a:ln w="3175" algn="ctr">
            <a:solidFill>
              <a:srgbClr val="0000FF"/>
            </a:solidFill>
            <a:round/>
            <a:headEnd type="none" w="sm" len="lg"/>
            <a:tailEnd type="triangle" w="sm" len="lg"/>
          </a:ln>
        </xdr:spPr>
      </xdr:cxnSp>
      <xdr:sp macro="" textlink="">
        <xdr:nvSpPr>
          <xdr:cNvPr id="233" name="CaixaDeTexto 232"/>
          <xdr:cNvSpPr txBox="1"/>
        </xdr:nvSpPr>
        <xdr:spPr>
          <a:xfrm>
            <a:off x="6833979" y="4711823"/>
            <a:ext cx="692878" cy="353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solidFill>
                  <a:srgbClr val="0000FF"/>
                </a:solidFill>
              </a:rPr>
              <a:t>ØD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view="pageBreakPreview" zoomScaleNormal="100" zoomScaleSheetLayoutView="100" workbookViewId="0">
      <selection activeCell="J61" sqref="J61"/>
    </sheetView>
  </sheetViews>
  <sheetFormatPr defaultRowHeight="15"/>
  <cols>
    <col min="1" max="1" width="11" customWidth="1"/>
    <col min="2" max="2" width="11.7109375" customWidth="1"/>
    <col min="3" max="8" width="9.85546875" customWidth="1"/>
    <col min="9" max="9" width="12.5703125" bestFit="1" customWidth="1"/>
    <col min="10" max="11" width="12.5703125" customWidth="1"/>
  </cols>
  <sheetData>
    <row r="1" spans="1:14" ht="15.75" thickTop="1">
      <c r="A1" s="116"/>
      <c r="B1" s="117"/>
      <c r="C1" s="122" t="s">
        <v>20</v>
      </c>
      <c r="D1" s="123"/>
      <c r="E1" s="123"/>
      <c r="F1" s="123"/>
      <c r="G1" s="123"/>
      <c r="H1" s="123"/>
      <c r="I1" s="123"/>
      <c r="J1" s="123"/>
      <c r="K1" s="123"/>
      <c r="L1" s="124"/>
      <c r="M1" s="95">
        <v>43648</v>
      </c>
      <c r="N1" s="96"/>
    </row>
    <row r="2" spans="1:14">
      <c r="A2" s="118"/>
      <c r="B2" s="119"/>
      <c r="C2" s="125"/>
      <c r="D2" s="126"/>
      <c r="E2" s="126"/>
      <c r="F2" s="126"/>
      <c r="G2" s="126"/>
      <c r="H2" s="126"/>
      <c r="I2" s="126"/>
      <c r="J2" s="126"/>
      <c r="K2" s="126"/>
      <c r="L2" s="127"/>
      <c r="M2" s="97"/>
      <c r="N2" s="98"/>
    </row>
    <row r="3" spans="1:14" ht="15.75" thickBot="1">
      <c r="A3" s="120"/>
      <c r="B3" s="121"/>
      <c r="C3" s="128"/>
      <c r="D3" s="129"/>
      <c r="E3" s="129"/>
      <c r="F3" s="129"/>
      <c r="G3" s="129"/>
      <c r="H3" s="129"/>
      <c r="I3" s="129"/>
      <c r="J3" s="129"/>
      <c r="K3" s="129"/>
      <c r="L3" s="130"/>
      <c r="M3" s="99"/>
      <c r="N3" s="100"/>
    </row>
    <row r="4" spans="1:14" ht="16.5" thickTop="1" thickBot="1"/>
    <row r="5" spans="1:14" ht="16.5" thickTop="1" thickBot="1">
      <c r="A5" s="71" t="s">
        <v>73</v>
      </c>
      <c r="B5" s="72"/>
      <c r="C5" s="72"/>
      <c r="D5" s="72"/>
      <c r="E5" s="72"/>
      <c r="F5" s="72"/>
      <c r="G5" s="72"/>
      <c r="H5" s="72"/>
      <c r="I5" s="73"/>
      <c r="J5" s="101" t="s">
        <v>7</v>
      </c>
      <c r="K5" s="102"/>
      <c r="L5" s="102"/>
      <c r="M5" s="103">
        <v>43629</v>
      </c>
      <c r="N5" s="104"/>
    </row>
    <row r="6" spans="1:14" ht="16.5" customHeight="1" thickTop="1" thickBot="1">
      <c r="A6" s="132" t="s">
        <v>6</v>
      </c>
      <c r="B6" s="107" t="s">
        <v>15</v>
      </c>
      <c r="C6" s="109" t="s">
        <v>5</v>
      </c>
      <c r="D6" s="110"/>
      <c r="E6" s="110"/>
      <c r="F6" s="110"/>
      <c r="G6" s="131"/>
      <c r="H6" s="111"/>
      <c r="I6" s="74" t="s">
        <v>32</v>
      </c>
      <c r="J6" s="14" t="s">
        <v>17</v>
      </c>
      <c r="K6" s="112" t="s">
        <v>72</v>
      </c>
      <c r="L6" s="112"/>
      <c r="M6" s="15" t="s">
        <v>18</v>
      </c>
      <c r="N6" s="26">
        <v>0</v>
      </c>
    </row>
    <row r="7" spans="1:14" s="1" customFormat="1" ht="28.5" customHeight="1" thickTop="1" thickBot="1">
      <c r="A7" s="133"/>
      <c r="B7" s="108"/>
      <c r="C7" s="66" t="s">
        <v>0</v>
      </c>
      <c r="D7" s="67" t="s">
        <v>1</v>
      </c>
      <c r="E7" s="67" t="s">
        <v>2</v>
      </c>
      <c r="F7" s="67" t="s">
        <v>3</v>
      </c>
      <c r="G7" s="69" t="s">
        <v>19</v>
      </c>
      <c r="H7" s="68" t="s">
        <v>4</v>
      </c>
      <c r="I7" s="75"/>
      <c r="J7" s="9"/>
      <c r="K7" s="10"/>
      <c r="L7" s="10"/>
      <c r="M7" s="10"/>
      <c r="N7" s="11"/>
    </row>
    <row r="8" spans="1:14" s="1" customFormat="1" ht="15.75" thickTop="1">
      <c r="A8" s="28" t="s">
        <v>8</v>
      </c>
      <c r="B8" s="49" t="s">
        <v>46</v>
      </c>
      <c r="C8" s="43">
        <v>31.1</v>
      </c>
      <c r="D8" s="44">
        <v>31.03</v>
      </c>
      <c r="E8" s="44">
        <v>31.13</v>
      </c>
      <c r="F8" s="44">
        <f>IFERROR(E8-D8,"")</f>
        <v>9.9999999999997868E-2</v>
      </c>
      <c r="G8" s="45">
        <v>2.5000000000000001E-2</v>
      </c>
      <c r="H8" s="46">
        <v>31.1</v>
      </c>
      <c r="I8" s="62" t="s">
        <v>48</v>
      </c>
      <c r="J8" s="12"/>
      <c r="K8" s="2"/>
      <c r="L8" s="2"/>
      <c r="M8" s="2"/>
      <c r="N8" s="4"/>
    </row>
    <row r="9" spans="1:14" s="1" customFormat="1">
      <c r="A9" s="3" t="s">
        <v>9</v>
      </c>
      <c r="B9" s="19">
        <v>8.1999999999999993</v>
      </c>
      <c r="C9" s="20">
        <v>8.16</v>
      </c>
      <c r="D9" s="21">
        <v>8.15</v>
      </c>
      <c r="E9" s="21">
        <v>8.17</v>
      </c>
      <c r="F9" s="21">
        <f t="shared" ref="F9:F14" si="0">IFERROR(E9-D9,"")</f>
        <v>1.9999999999999574E-2</v>
      </c>
      <c r="G9" s="27">
        <v>8.0000000000000002E-3</v>
      </c>
      <c r="H9" s="22">
        <v>8.15</v>
      </c>
      <c r="I9" s="63" t="s">
        <v>49</v>
      </c>
      <c r="J9" s="12"/>
      <c r="K9" s="2"/>
      <c r="L9" s="2"/>
      <c r="M9" s="2"/>
      <c r="N9" s="4"/>
    </row>
    <row r="10" spans="1:14" s="1" customFormat="1">
      <c r="A10" s="3" t="s">
        <v>10</v>
      </c>
      <c r="B10" s="19">
        <v>8.74</v>
      </c>
      <c r="C10" s="20">
        <v>9.15</v>
      </c>
      <c r="D10" s="21">
        <v>9.1199999999999992</v>
      </c>
      <c r="E10" s="21">
        <v>9.18</v>
      </c>
      <c r="F10" s="21">
        <f t="shared" si="0"/>
        <v>6.0000000000000497E-2</v>
      </c>
      <c r="G10" s="27">
        <v>1.4999999999999999E-2</v>
      </c>
      <c r="H10" s="22">
        <v>9.15</v>
      </c>
      <c r="I10" s="63" t="s">
        <v>50</v>
      </c>
      <c r="J10" s="12"/>
      <c r="K10" s="2"/>
      <c r="L10" s="2"/>
      <c r="M10" s="2"/>
      <c r="N10" s="4"/>
    </row>
    <row r="11" spans="1:14" s="1" customFormat="1">
      <c r="A11" s="3" t="s">
        <v>11</v>
      </c>
      <c r="B11" s="19">
        <v>9.74</v>
      </c>
      <c r="C11" s="20">
        <v>9.56</v>
      </c>
      <c r="D11" s="21">
        <v>9.5</v>
      </c>
      <c r="E11" s="21">
        <v>9.6199999999999992</v>
      </c>
      <c r="F11" s="21">
        <f t="shared" si="0"/>
        <v>0.11999999999999922</v>
      </c>
      <c r="G11" s="27">
        <v>3.7999999999999999E-2</v>
      </c>
      <c r="H11" s="22">
        <v>9.5399999999999991</v>
      </c>
      <c r="I11" s="63" t="s">
        <v>76</v>
      </c>
      <c r="J11" s="12"/>
      <c r="K11" s="2"/>
      <c r="L11" s="2"/>
      <c r="M11" s="2"/>
      <c r="N11" s="4"/>
    </row>
    <row r="12" spans="1:14" s="1" customFormat="1">
      <c r="A12" s="3" t="s">
        <v>12</v>
      </c>
      <c r="B12" s="23" t="s">
        <v>47</v>
      </c>
      <c r="C12" s="20">
        <v>6.56</v>
      </c>
      <c r="D12" s="21">
        <v>6.52</v>
      </c>
      <c r="E12" s="21">
        <v>6.58</v>
      </c>
      <c r="F12" s="21">
        <f t="shared" si="0"/>
        <v>6.0000000000000497E-2</v>
      </c>
      <c r="G12" s="27">
        <v>1.6E-2</v>
      </c>
      <c r="H12" s="22">
        <v>6.56</v>
      </c>
      <c r="I12" s="63" t="s">
        <v>82</v>
      </c>
      <c r="J12" s="12"/>
      <c r="K12" s="2"/>
      <c r="L12" s="2"/>
      <c r="M12" s="2"/>
      <c r="N12" s="4"/>
    </row>
    <row r="13" spans="1:14" s="1" customFormat="1">
      <c r="A13" s="3" t="s">
        <v>13</v>
      </c>
      <c r="B13" s="23" t="s">
        <v>16</v>
      </c>
      <c r="C13" s="20">
        <v>6.46</v>
      </c>
      <c r="D13" s="21">
        <v>6.45</v>
      </c>
      <c r="E13" s="21">
        <v>6.48</v>
      </c>
      <c r="F13" s="21">
        <f t="shared" si="0"/>
        <v>3.0000000000000249E-2</v>
      </c>
      <c r="G13" s="27">
        <v>0.01</v>
      </c>
      <c r="H13" s="22">
        <v>6.46</v>
      </c>
      <c r="I13" s="63" t="s">
        <v>51</v>
      </c>
      <c r="J13" s="12"/>
      <c r="K13" s="2"/>
      <c r="L13" s="2"/>
      <c r="M13" s="2"/>
      <c r="N13" s="4"/>
    </row>
    <row r="14" spans="1:14" s="1" customFormat="1">
      <c r="A14" s="3" t="s">
        <v>14</v>
      </c>
      <c r="B14" s="23" t="s">
        <v>16</v>
      </c>
      <c r="C14" s="20">
        <v>4.37</v>
      </c>
      <c r="D14" s="21">
        <v>4.3600000000000003</v>
      </c>
      <c r="E14" s="21">
        <v>4.38</v>
      </c>
      <c r="F14" s="21">
        <f t="shared" si="0"/>
        <v>1.9999999999999574E-2</v>
      </c>
      <c r="G14" s="27">
        <v>5.0000000000000001E-3</v>
      </c>
      <c r="H14" s="22">
        <v>4.37</v>
      </c>
      <c r="I14" s="63" t="s">
        <v>52</v>
      </c>
      <c r="J14" s="12"/>
      <c r="K14" s="2"/>
      <c r="L14" s="2"/>
      <c r="M14" s="2"/>
      <c r="N14" s="4"/>
    </row>
    <row r="15" spans="1:14" s="1" customFormat="1">
      <c r="A15" s="3"/>
      <c r="B15" s="23"/>
      <c r="C15" s="20"/>
      <c r="D15" s="21"/>
      <c r="E15" s="21"/>
      <c r="F15" s="21"/>
      <c r="G15" s="27"/>
      <c r="H15" s="22"/>
      <c r="I15" s="63"/>
      <c r="J15" s="12"/>
      <c r="K15" s="2"/>
      <c r="L15" s="2"/>
      <c r="M15" s="2"/>
      <c r="N15" s="4"/>
    </row>
    <row r="16" spans="1:14" s="1" customFormat="1" ht="15.75" thickBot="1">
      <c r="A16" s="54"/>
      <c r="B16" s="41"/>
      <c r="C16" s="55"/>
      <c r="D16" s="40"/>
      <c r="E16" s="40"/>
      <c r="F16" s="40"/>
      <c r="G16" s="56"/>
      <c r="H16" s="57"/>
      <c r="I16" s="64"/>
      <c r="J16" s="12"/>
      <c r="K16" s="2"/>
      <c r="L16" s="2"/>
      <c r="M16" s="2"/>
      <c r="N16" s="4"/>
    </row>
    <row r="17" spans="1:14" s="1" customFormat="1" ht="15.75" thickTop="1">
      <c r="A17" s="77" t="s">
        <v>83</v>
      </c>
      <c r="B17" s="78"/>
      <c r="C17" s="78"/>
      <c r="D17" s="78"/>
      <c r="E17" s="78"/>
      <c r="F17" s="78"/>
      <c r="G17" s="78"/>
      <c r="H17" s="78"/>
      <c r="I17" s="79"/>
      <c r="J17" s="12"/>
      <c r="K17" s="2"/>
      <c r="L17" s="2"/>
      <c r="M17" s="2"/>
      <c r="N17" s="4"/>
    </row>
    <row r="18" spans="1:14" s="1" customFormat="1">
      <c r="A18" s="80"/>
      <c r="B18" s="81"/>
      <c r="C18" s="81"/>
      <c r="D18" s="81"/>
      <c r="E18" s="81"/>
      <c r="F18" s="81"/>
      <c r="G18" s="81"/>
      <c r="H18" s="81"/>
      <c r="I18" s="82"/>
      <c r="J18" s="12"/>
      <c r="K18" s="2"/>
      <c r="L18" s="2"/>
      <c r="M18" s="2"/>
      <c r="N18" s="4"/>
    </row>
    <row r="19" spans="1:14" s="1" customFormat="1">
      <c r="A19" s="80"/>
      <c r="B19" s="81"/>
      <c r="C19" s="81"/>
      <c r="D19" s="81"/>
      <c r="E19" s="81"/>
      <c r="F19" s="81"/>
      <c r="G19" s="81"/>
      <c r="H19" s="81"/>
      <c r="I19" s="82"/>
      <c r="J19" s="12"/>
      <c r="K19" s="2"/>
      <c r="L19" s="2"/>
      <c r="M19" s="2"/>
      <c r="N19" s="4"/>
    </row>
    <row r="20" spans="1:14" s="1" customFormat="1" ht="15.75" customHeight="1" thickBot="1">
      <c r="A20" s="83"/>
      <c r="B20" s="84"/>
      <c r="C20" s="84"/>
      <c r="D20" s="84"/>
      <c r="E20" s="84"/>
      <c r="F20" s="84"/>
      <c r="G20" s="84"/>
      <c r="H20" s="84"/>
      <c r="I20" s="85"/>
      <c r="J20" s="13"/>
      <c r="K20" s="5"/>
      <c r="L20" s="5"/>
      <c r="M20" s="5"/>
      <c r="N20" s="6"/>
    </row>
    <row r="21" spans="1:14" s="1" customFormat="1" ht="15.75" customHeight="1" thickTop="1" thickBot="1">
      <c r="A21" s="29"/>
      <c r="B21" s="30"/>
      <c r="C21" s="30"/>
      <c r="D21" s="30"/>
      <c r="E21" s="30"/>
      <c r="F21" s="30"/>
      <c r="G21" s="31"/>
      <c r="H21" s="30"/>
      <c r="I21" s="30"/>
      <c r="J21" s="29"/>
      <c r="K21" s="29"/>
      <c r="L21" s="29"/>
      <c r="M21" s="29"/>
      <c r="N21" s="29"/>
    </row>
    <row r="22" spans="1:14" s="1" customFormat="1" ht="16.5" thickTop="1" thickBot="1">
      <c r="A22" s="71" t="s">
        <v>74</v>
      </c>
      <c r="B22" s="72"/>
      <c r="C22" s="72"/>
      <c r="D22" s="72"/>
      <c r="E22" s="72"/>
      <c r="F22" s="72"/>
      <c r="G22" s="72"/>
      <c r="H22" s="72"/>
      <c r="I22" s="73"/>
      <c r="J22" s="101" t="s">
        <v>7</v>
      </c>
      <c r="K22" s="102"/>
      <c r="L22" s="102"/>
      <c r="M22" s="103">
        <v>43626</v>
      </c>
      <c r="N22" s="104"/>
    </row>
    <row r="23" spans="1:14" s="1" customFormat="1" ht="16.5" customHeight="1" thickTop="1" thickBot="1">
      <c r="A23" s="105" t="s">
        <v>6</v>
      </c>
      <c r="B23" s="107" t="s">
        <v>15</v>
      </c>
      <c r="C23" s="113" t="s">
        <v>5</v>
      </c>
      <c r="D23" s="114"/>
      <c r="E23" s="114"/>
      <c r="F23" s="114"/>
      <c r="G23" s="114"/>
      <c r="H23" s="115"/>
      <c r="I23" s="74" t="s">
        <v>32</v>
      </c>
      <c r="J23" s="14" t="s">
        <v>17</v>
      </c>
      <c r="K23" s="112" t="s">
        <v>23</v>
      </c>
      <c r="L23" s="112"/>
      <c r="M23" s="15" t="s">
        <v>18</v>
      </c>
      <c r="N23" s="26">
        <v>0</v>
      </c>
    </row>
    <row r="24" spans="1:14" s="1" customFormat="1" ht="31.5" thickTop="1" thickBot="1">
      <c r="A24" s="106"/>
      <c r="B24" s="108"/>
      <c r="C24" s="66" t="s">
        <v>0</v>
      </c>
      <c r="D24" s="67" t="s">
        <v>1</v>
      </c>
      <c r="E24" s="67" t="s">
        <v>2</v>
      </c>
      <c r="F24" s="67" t="s">
        <v>3</v>
      </c>
      <c r="G24" s="67" t="s">
        <v>19</v>
      </c>
      <c r="H24" s="68" t="s">
        <v>4</v>
      </c>
      <c r="I24" s="75"/>
      <c r="J24" s="9"/>
      <c r="K24" s="10"/>
      <c r="L24" s="10"/>
      <c r="M24" s="10"/>
      <c r="N24" s="11"/>
    </row>
    <row r="25" spans="1:14" s="1" customFormat="1" ht="15.75" thickTop="1">
      <c r="A25" s="50" t="s">
        <v>8</v>
      </c>
      <c r="B25" s="51" t="s">
        <v>25</v>
      </c>
      <c r="C25" s="47">
        <v>34.729999999999997</v>
      </c>
      <c r="D25" s="44">
        <v>34.700000000000003</v>
      </c>
      <c r="E25" s="44">
        <v>34.76</v>
      </c>
      <c r="F25" s="44">
        <f>E25-D25</f>
        <v>5.9999999999995168E-2</v>
      </c>
      <c r="G25" s="48">
        <v>1.6E-2</v>
      </c>
      <c r="H25" s="49">
        <v>34.729999999999997</v>
      </c>
      <c r="I25" s="62" t="s">
        <v>92</v>
      </c>
      <c r="J25" s="12"/>
      <c r="K25" s="2"/>
      <c r="L25" s="2"/>
      <c r="M25" s="2"/>
      <c r="N25" s="4"/>
    </row>
    <row r="26" spans="1:14" s="1" customFormat="1">
      <c r="A26" s="7" t="s">
        <v>21</v>
      </c>
      <c r="B26" s="17" t="s">
        <v>24</v>
      </c>
      <c r="C26" s="38">
        <v>6.11</v>
      </c>
      <c r="D26" s="21">
        <v>6.07</v>
      </c>
      <c r="E26" s="21">
        <v>6.21</v>
      </c>
      <c r="F26" s="21">
        <f t="shared" ref="F26:F32" si="1">E26-D26</f>
        <v>0.13999999999999968</v>
      </c>
      <c r="G26" s="35">
        <v>3.3000000000000002E-2</v>
      </c>
      <c r="H26" s="23" t="s">
        <v>31</v>
      </c>
      <c r="I26" s="63" t="s">
        <v>77</v>
      </c>
      <c r="J26" s="12"/>
      <c r="K26" s="2"/>
      <c r="L26" s="2"/>
      <c r="M26" s="2"/>
      <c r="N26" s="4"/>
    </row>
    <row r="27" spans="1:14" s="1" customFormat="1">
      <c r="A27" s="7" t="s">
        <v>22</v>
      </c>
      <c r="B27" s="17" t="s">
        <v>26</v>
      </c>
      <c r="C27" s="38">
        <v>0.97</v>
      </c>
      <c r="D27" s="21">
        <v>0.9</v>
      </c>
      <c r="E27" s="21">
        <v>1.01</v>
      </c>
      <c r="F27" s="21">
        <f t="shared" si="1"/>
        <v>0.10999999999999999</v>
      </c>
      <c r="G27" s="35">
        <v>3.1E-2</v>
      </c>
      <c r="H27" s="23" t="s">
        <v>31</v>
      </c>
      <c r="I27" s="63" t="s">
        <v>78</v>
      </c>
      <c r="J27" s="12"/>
      <c r="K27" s="2"/>
      <c r="L27" s="2"/>
      <c r="M27" s="2"/>
      <c r="N27" s="4"/>
    </row>
    <row r="28" spans="1:14" s="1" customFormat="1">
      <c r="A28" s="7" t="s">
        <v>11</v>
      </c>
      <c r="B28" s="17" t="s">
        <v>27</v>
      </c>
      <c r="C28" s="38">
        <v>6.52</v>
      </c>
      <c r="D28" s="21">
        <v>6.51</v>
      </c>
      <c r="E28" s="21">
        <v>6.54</v>
      </c>
      <c r="F28" s="21">
        <f t="shared" si="1"/>
        <v>3.0000000000000249E-2</v>
      </c>
      <c r="G28" s="35">
        <v>8.9999999999999993E-3</v>
      </c>
      <c r="H28" s="23">
        <v>6.52</v>
      </c>
      <c r="I28" s="63" t="s">
        <v>81</v>
      </c>
      <c r="J28" s="12"/>
      <c r="K28" s="2"/>
      <c r="L28" s="2"/>
      <c r="M28" s="2"/>
      <c r="N28" s="4"/>
    </row>
    <row r="29" spans="1:14" s="1" customFormat="1">
      <c r="A29" s="7" t="s">
        <v>12</v>
      </c>
      <c r="B29" s="17" t="s">
        <v>28</v>
      </c>
      <c r="C29" s="38">
        <v>6.92</v>
      </c>
      <c r="D29" s="21">
        <v>6.86</v>
      </c>
      <c r="E29" s="21">
        <v>6.98</v>
      </c>
      <c r="F29" s="21">
        <f t="shared" si="1"/>
        <v>0.12000000000000011</v>
      </c>
      <c r="G29" s="35">
        <v>3.6999999999999998E-2</v>
      </c>
      <c r="H29" s="23">
        <v>6.88</v>
      </c>
      <c r="I29" s="63" t="s">
        <v>79</v>
      </c>
      <c r="J29" s="12"/>
      <c r="K29" s="2"/>
      <c r="L29" s="2"/>
      <c r="M29" s="2"/>
      <c r="N29" s="4"/>
    </row>
    <row r="30" spans="1:14" s="1" customFormat="1">
      <c r="A30" s="33" t="s">
        <v>13</v>
      </c>
      <c r="B30" s="34" t="s">
        <v>29</v>
      </c>
      <c r="C30" s="39">
        <v>5.44</v>
      </c>
      <c r="D30" s="40">
        <v>5.42</v>
      </c>
      <c r="E30" s="40">
        <v>5.48</v>
      </c>
      <c r="F30" s="21">
        <f t="shared" si="1"/>
        <v>6.0000000000000497E-2</v>
      </c>
      <c r="G30" s="36">
        <v>1.4999999999999999E-2</v>
      </c>
      <c r="H30" s="41">
        <v>5.43</v>
      </c>
      <c r="I30" s="63" t="s">
        <v>53</v>
      </c>
      <c r="J30" s="12"/>
      <c r="K30" s="2"/>
      <c r="L30" s="2"/>
      <c r="M30" s="2"/>
      <c r="N30" s="4"/>
    </row>
    <row r="31" spans="1:14" s="1" customFormat="1">
      <c r="A31" s="33" t="s">
        <v>14</v>
      </c>
      <c r="B31" s="34" t="s">
        <v>30</v>
      </c>
      <c r="C31" s="39">
        <v>5.67</v>
      </c>
      <c r="D31" s="40">
        <v>5.65</v>
      </c>
      <c r="E31" s="40">
        <v>5.69</v>
      </c>
      <c r="F31" s="21">
        <f t="shared" si="1"/>
        <v>4.0000000000000036E-2</v>
      </c>
      <c r="G31" s="36">
        <v>1.2E-2</v>
      </c>
      <c r="H31" s="41">
        <v>5.68</v>
      </c>
      <c r="I31" s="63" t="s">
        <v>54</v>
      </c>
      <c r="J31" s="12"/>
      <c r="K31" s="2"/>
      <c r="L31" s="2"/>
      <c r="M31" s="2"/>
      <c r="N31" s="4"/>
    </row>
    <row r="32" spans="1:14" s="1" customFormat="1">
      <c r="A32" s="33" t="s">
        <v>89</v>
      </c>
      <c r="B32" s="70" t="s">
        <v>90</v>
      </c>
      <c r="C32" s="39">
        <v>27.65</v>
      </c>
      <c r="D32" s="40">
        <v>27.6</v>
      </c>
      <c r="E32" s="40">
        <v>27.7</v>
      </c>
      <c r="F32" s="21">
        <f t="shared" si="1"/>
        <v>9.9999999999997868E-2</v>
      </c>
      <c r="G32" s="36">
        <v>3.4000000000000002E-2</v>
      </c>
      <c r="H32" s="41">
        <v>27.64</v>
      </c>
      <c r="I32" s="63" t="s">
        <v>91</v>
      </c>
      <c r="J32" s="12"/>
      <c r="K32" s="2"/>
      <c r="L32" s="2"/>
      <c r="M32" s="2"/>
      <c r="N32" s="4"/>
    </row>
    <row r="33" spans="1:14" s="1" customFormat="1" ht="15.75" thickBot="1">
      <c r="A33" s="33"/>
      <c r="B33" s="34"/>
      <c r="C33" s="39"/>
      <c r="D33" s="40"/>
      <c r="E33" s="40"/>
      <c r="F33" s="40"/>
      <c r="G33" s="36"/>
      <c r="H33" s="41"/>
      <c r="I33" s="64"/>
      <c r="J33" s="12"/>
      <c r="K33" s="2"/>
      <c r="L33" s="2"/>
      <c r="M33" s="2"/>
      <c r="N33" s="4"/>
    </row>
    <row r="34" spans="1:14" s="1" customFormat="1" ht="15.75" thickTop="1">
      <c r="A34" s="86" t="s">
        <v>84</v>
      </c>
      <c r="B34" s="87"/>
      <c r="C34" s="87"/>
      <c r="D34" s="87"/>
      <c r="E34" s="87"/>
      <c r="F34" s="87"/>
      <c r="G34" s="87"/>
      <c r="H34" s="87"/>
      <c r="I34" s="88"/>
      <c r="J34" s="12"/>
      <c r="K34" s="2"/>
      <c r="L34" s="2"/>
      <c r="M34" s="2"/>
      <c r="N34" s="4"/>
    </row>
    <row r="35" spans="1:14" s="1" customFormat="1">
      <c r="A35" s="89"/>
      <c r="B35" s="90"/>
      <c r="C35" s="90"/>
      <c r="D35" s="90"/>
      <c r="E35" s="90"/>
      <c r="F35" s="90"/>
      <c r="G35" s="90"/>
      <c r="H35" s="90"/>
      <c r="I35" s="91"/>
      <c r="J35" s="12"/>
      <c r="K35" s="2"/>
      <c r="L35" s="2"/>
      <c r="M35" s="2"/>
      <c r="N35" s="4"/>
    </row>
    <row r="36" spans="1:14" s="1" customFormat="1">
      <c r="A36" s="89"/>
      <c r="B36" s="90"/>
      <c r="C36" s="90"/>
      <c r="D36" s="90"/>
      <c r="E36" s="90"/>
      <c r="F36" s="90"/>
      <c r="G36" s="90"/>
      <c r="H36" s="90"/>
      <c r="I36" s="91"/>
      <c r="J36" s="12"/>
      <c r="K36" s="2"/>
      <c r="L36" s="2"/>
      <c r="M36" s="2"/>
      <c r="N36" s="4"/>
    </row>
    <row r="37" spans="1:14" s="1" customFormat="1" ht="15.75" thickBot="1">
      <c r="A37" s="92"/>
      <c r="B37" s="93"/>
      <c r="C37" s="93"/>
      <c r="D37" s="93"/>
      <c r="E37" s="93"/>
      <c r="F37" s="93"/>
      <c r="G37" s="93"/>
      <c r="H37" s="93"/>
      <c r="I37" s="94"/>
      <c r="J37" s="13"/>
      <c r="K37" s="5"/>
      <c r="L37" s="5"/>
      <c r="M37" s="5"/>
      <c r="N37" s="6"/>
    </row>
    <row r="38" spans="1:14" s="1" customFormat="1" ht="16.5" thickTop="1" thickBot="1"/>
    <row r="39" spans="1:14" s="1" customFormat="1" ht="16.5" thickTop="1" thickBot="1">
      <c r="A39" s="71" t="s">
        <v>75</v>
      </c>
      <c r="B39" s="72"/>
      <c r="C39" s="72"/>
      <c r="D39" s="72"/>
      <c r="E39" s="72"/>
      <c r="F39" s="72"/>
      <c r="G39" s="72"/>
      <c r="H39" s="72"/>
      <c r="I39" s="73"/>
      <c r="J39" s="101" t="s">
        <v>7</v>
      </c>
      <c r="K39" s="102"/>
      <c r="L39" s="102"/>
      <c r="M39" s="103">
        <v>43516</v>
      </c>
      <c r="N39" s="104"/>
    </row>
    <row r="40" spans="1:14" s="1" customFormat="1" ht="16.5" thickTop="1" thickBot="1">
      <c r="A40" s="105" t="s">
        <v>6</v>
      </c>
      <c r="B40" s="107" t="s">
        <v>15</v>
      </c>
      <c r="C40" s="109" t="s">
        <v>5</v>
      </c>
      <c r="D40" s="110"/>
      <c r="E40" s="110"/>
      <c r="F40" s="110"/>
      <c r="G40" s="110"/>
      <c r="H40" s="111"/>
      <c r="I40" s="76" t="s">
        <v>32</v>
      </c>
      <c r="J40" s="14" t="s">
        <v>17</v>
      </c>
      <c r="K40" s="112" t="s">
        <v>71</v>
      </c>
      <c r="L40" s="112"/>
      <c r="M40" s="15" t="s">
        <v>18</v>
      </c>
      <c r="N40" s="26">
        <v>0</v>
      </c>
    </row>
    <row r="41" spans="1:14" s="1" customFormat="1" ht="31.5" thickTop="1" thickBot="1">
      <c r="A41" s="106"/>
      <c r="B41" s="108"/>
      <c r="C41" s="66" t="s">
        <v>0</v>
      </c>
      <c r="D41" s="67" t="s">
        <v>1</v>
      </c>
      <c r="E41" s="67" t="s">
        <v>2</v>
      </c>
      <c r="F41" s="67" t="s">
        <v>3</v>
      </c>
      <c r="G41" s="67" t="s">
        <v>19</v>
      </c>
      <c r="H41" s="68" t="s">
        <v>4</v>
      </c>
      <c r="I41" s="75"/>
      <c r="J41" s="9"/>
      <c r="K41" s="10"/>
      <c r="L41" s="10"/>
      <c r="M41" s="10"/>
      <c r="N41" s="11"/>
    </row>
    <row r="42" spans="1:14" s="1" customFormat="1" ht="15.75" thickTop="1">
      <c r="A42" s="52" t="s">
        <v>8</v>
      </c>
      <c r="B42" s="53" t="s">
        <v>60</v>
      </c>
      <c r="C42" s="47">
        <v>1.1399999999999999</v>
      </c>
      <c r="D42" s="44">
        <v>1.1100000000000001</v>
      </c>
      <c r="E42" s="44">
        <v>1.1599999999999999</v>
      </c>
      <c r="F42" s="44">
        <f>E42*D42</f>
        <v>1.2876000000000001</v>
      </c>
      <c r="G42" s="48">
        <v>1.4E-2</v>
      </c>
      <c r="H42" s="49">
        <v>1.1399999999999999</v>
      </c>
      <c r="I42" s="62" t="s">
        <v>55</v>
      </c>
      <c r="J42" s="12"/>
      <c r="K42" s="2"/>
      <c r="L42" s="2"/>
      <c r="M42" s="2"/>
      <c r="N42" s="4"/>
    </row>
    <row r="43" spans="1:14">
      <c r="A43" s="7" t="s">
        <v>9</v>
      </c>
      <c r="B43" s="16" t="s">
        <v>16</v>
      </c>
      <c r="C43" s="38">
        <v>4.4400000000000004</v>
      </c>
      <c r="D43" s="21">
        <v>4.43</v>
      </c>
      <c r="E43" s="21">
        <v>4.47</v>
      </c>
      <c r="F43" s="21">
        <f>E43-D43</f>
        <v>4.0000000000000036E-2</v>
      </c>
      <c r="G43" s="35">
        <v>1.0999999999999999E-2</v>
      </c>
      <c r="H43" s="23">
        <v>4.4400000000000004</v>
      </c>
      <c r="I43" s="63" t="s">
        <v>56</v>
      </c>
      <c r="J43" s="12"/>
      <c r="K43" s="2"/>
      <c r="L43" s="2"/>
      <c r="M43" s="2"/>
      <c r="N43" s="4"/>
    </row>
    <row r="44" spans="1:14">
      <c r="A44" s="7" t="s">
        <v>11</v>
      </c>
      <c r="B44" s="17" t="s">
        <v>63</v>
      </c>
      <c r="C44" s="38">
        <v>1.91</v>
      </c>
      <c r="D44" s="21">
        <v>1.89</v>
      </c>
      <c r="E44" s="21">
        <v>1.92</v>
      </c>
      <c r="F44" s="21">
        <f t="shared" ref="F44:F58" si="2">E44-D44</f>
        <v>3.0000000000000027E-2</v>
      </c>
      <c r="G44" s="35">
        <v>8.0000000000000002E-3</v>
      </c>
      <c r="H44" s="23">
        <v>1.91</v>
      </c>
      <c r="I44" s="63" t="s">
        <v>57</v>
      </c>
      <c r="J44" s="12"/>
      <c r="K44" s="2"/>
      <c r="L44" s="2"/>
      <c r="M44" s="2"/>
      <c r="N44" s="4"/>
    </row>
    <row r="45" spans="1:14">
      <c r="A45" s="7" t="s">
        <v>33</v>
      </c>
      <c r="B45" s="16" t="s">
        <v>16</v>
      </c>
      <c r="C45" s="38">
        <v>2.7</v>
      </c>
      <c r="D45" s="21">
        <v>2.66</v>
      </c>
      <c r="E45" s="21">
        <v>2.73</v>
      </c>
      <c r="F45" s="21">
        <f t="shared" si="2"/>
        <v>6.999999999999984E-2</v>
      </c>
      <c r="G45" s="35">
        <v>0.02</v>
      </c>
      <c r="H45" s="23">
        <v>2.7</v>
      </c>
      <c r="I45" s="63" t="s">
        <v>80</v>
      </c>
      <c r="J45" s="12"/>
      <c r="K45" s="2"/>
      <c r="L45" s="2"/>
      <c r="M45" s="2"/>
      <c r="N45" s="4"/>
    </row>
    <row r="46" spans="1:14">
      <c r="A46" s="33" t="s">
        <v>39</v>
      </c>
      <c r="B46" s="138" t="s">
        <v>64</v>
      </c>
      <c r="C46" s="39">
        <v>5.44</v>
      </c>
      <c r="D46" s="40">
        <v>5.41</v>
      </c>
      <c r="E46" s="40">
        <v>5.47</v>
      </c>
      <c r="F46" s="21">
        <f t="shared" si="2"/>
        <v>5.9999999999999609E-2</v>
      </c>
      <c r="G46" s="36">
        <v>1.6E-2</v>
      </c>
      <c r="H46" s="41">
        <v>5.44</v>
      </c>
      <c r="I46" s="135" t="s">
        <v>85</v>
      </c>
      <c r="J46" s="12"/>
      <c r="K46" s="2"/>
      <c r="L46" s="2"/>
      <c r="M46" s="2"/>
      <c r="N46" s="4"/>
    </row>
    <row r="47" spans="1:14">
      <c r="A47" s="33" t="s">
        <v>38</v>
      </c>
      <c r="B47" s="139"/>
      <c r="C47" s="39">
        <v>5.5</v>
      </c>
      <c r="D47" s="40">
        <v>5.46</v>
      </c>
      <c r="E47" s="40">
        <v>5.55</v>
      </c>
      <c r="F47" s="21">
        <f t="shared" si="2"/>
        <v>8.9999999999999858E-2</v>
      </c>
      <c r="G47" s="36">
        <v>2.5999999999999999E-2</v>
      </c>
      <c r="H47" s="41">
        <v>5.51</v>
      </c>
      <c r="I47" s="136"/>
      <c r="J47" s="12"/>
      <c r="K47" s="2"/>
      <c r="L47" s="2"/>
      <c r="M47" s="2"/>
      <c r="N47" s="4"/>
    </row>
    <row r="48" spans="1:14">
      <c r="A48" s="33" t="s">
        <v>40</v>
      </c>
      <c r="B48" s="140"/>
      <c r="C48" s="39">
        <v>5.47</v>
      </c>
      <c r="D48" s="40">
        <v>5.45</v>
      </c>
      <c r="E48" s="40">
        <v>5.5</v>
      </c>
      <c r="F48" s="21">
        <f t="shared" si="2"/>
        <v>4.9999999999999822E-2</v>
      </c>
      <c r="G48" s="36">
        <v>1.2E-2</v>
      </c>
      <c r="H48" s="41">
        <v>5.48</v>
      </c>
      <c r="I48" s="137"/>
      <c r="J48" s="12"/>
      <c r="K48" s="2"/>
      <c r="L48" s="2"/>
      <c r="M48" s="2"/>
      <c r="N48" s="4"/>
    </row>
    <row r="49" spans="1:14">
      <c r="A49" s="33" t="s">
        <v>41</v>
      </c>
      <c r="B49" s="138" t="s">
        <v>65</v>
      </c>
      <c r="C49" s="39">
        <v>5.49</v>
      </c>
      <c r="D49" s="40">
        <v>5.47</v>
      </c>
      <c r="E49" s="40">
        <v>5.51</v>
      </c>
      <c r="F49" s="21">
        <f t="shared" si="2"/>
        <v>4.0000000000000036E-2</v>
      </c>
      <c r="G49" s="36">
        <v>1.2999999999999999E-2</v>
      </c>
      <c r="H49" s="41">
        <v>5.49</v>
      </c>
      <c r="I49" s="135" t="s">
        <v>86</v>
      </c>
      <c r="J49" s="12"/>
      <c r="K49" s="2"/>
      <c r="L49" s="2"/>
      <c r="M49" s="2"/>
      <c r="N49" s="4"/>
    </row>
    <row r="50" spans="1:14">
      <c r="A50" s="33" t="s">
        <v>42</v>
      </c>
      <c r="B50" s="139"/>
      <c r="C50" s="39">
        <v>5.51</v>
      </c>
      <c r="D50" s="40">
        <v>5.49</v>
      </c>
      <c r="E50" s="40">
        <v>5.53</v>
      </c>
      <c r="F50" s="21">
        <f t="shared" si="2"/>
        <v>4.0000000000000036E-2</v>
      </c>
      <c r="G50" s="36">
        <v>1.0999999999999999E-2</v>
      </c>
      <c r="H50" s="41">
        <v>5.5</v>
      </c>
      <c r="I50" s="136"/>
      <c r="J50" s="12"/>
      <c r="K50" s="2"/>
      <c r="L50" s="2"/>
      <c r="M50" s="2"/>
      <c r="N50" s="4"/>
    </row>
    <row r="51" spans="1:14">
      <c r="A51" s="33" t="s">
        <v>43</v>
      </c>
      <c r="B51" s="140"/>
      <c r="C51" s="39">
        <v>5.5</v>
      </c>
      <c r="D51" s="40">
        <v>5.49</v>
      </c>
      <c r="E51" s="40">
        <v>5.52</v>
      </c>
      <c r="F51" s="21">
        <f t="shared" si="2"/>
        <v>2.9999999999999361E-2</v>
      </c>
      <c r="G51" s="36">
        <v>1.0999999999999999E-2</v>
      </c>
      <c r="H51" s="41">
        <v>5.5</v>
      </c>
      <c r="I51" s="137"/>
      <c r="J51" s="12"/>
      <c r="K51" s="2"/>
      <c r="L51" s="2"/>
      <c r="M51" s="2"/>
      <c r="N51" s="4"/>
    </row>
    <row r="52" spans="1:14">
      <c r="A52" s="33" t="s">
        <v>34</v>
      </c>
      <c r="B52" s="34" t="s">
        <v>53</v>
      </c>
      <c r="C52" s="39">
        <v>5.43</v>
      </c>
      <c r="D52" s="40">
        <v>5.4</v>
      </c>
      <c r="E52" s="40">
        <v>5.46</v>
      </c>
      <c r="F52" s="21">
        <f t="shared" si="2"/>
        <v>5.9999999999999609E-2</v>
      </c>
      <c r="G52" s="36">
        <v>1.4999999999999999E-2</v>
      </c>
      <c r="H52" s="41">
        <v>5.43</v>
      </c>
      <c r="I52" s="63" t="s">
        <v>58</v>
      </c>
      <c r="J52" s="12"/>
      <c r="K52" s="2"/>
      <c r="L52" s="2"/>
      <c r="M52" s="2"/>
      <c r="N52" s="4"/>
    </row>
    <row r="53" spans="1:14">
      <c r="A53" s="33" t="s">
        <v>44</v>
      </c>
      <c r="B53" s="138" t="s">
        <v>66</v>
      </c>
      <c r="C53" s="39">
        <v>7.57</v>
      </c>
      <c r="D53" s="40">
        <v>7.46</v>
      </c>
      <c r="E53" s="40">
        <v>7.61</v>
      </c>
      <c r="F53" s="21">
        <f t="shared" si="2"/>
        <v>0.15000000000000036</v>
      </c>
      <c r="G53" s="36">
        <v>4.1000000000000002E-2</v>
      </c>
      <c r="H53" s="41">
        <v>7.49</v>
      </c>
      <c r="I53" s="135" t="s">
        <v>61</v>
      </c>
      <c r="J53" s="12"/>
      <c r="K53" s="2"/>
      <c r="L53" s="2"/>
      <c r="M53" s="2"/>
      <c r="N53" s="4"/>
    </row>
    <row r="54" spans="1:14">
      <c r="A54" s="33" t="s">
        <v>45</v>
      </c>
      <c r="B54" s="141"/>
      <c r="C54" s="39">
        <v>7.57</v>
      </c>
      <c r="D54" s="40">
        <v>7.52</v>
      </c>
      <c r="E54" s="40">
        <v>7.64</v>
      </c>
      <c r="F54" s="21">
        <f t="shared" si="2"/>
        <v>0.12000000000000011</v>
      </c>
      <c r="G54" s="36">
        <v>3.2000000000000001E-2</v>
      </c>
      <c r="H54" s="41">
        <v>7.54</v>
      </c>
      <c r="I54" s="136"/>
      <c r="J54" s="12"/>
      <c r="K54" s="2"/>
      <c r="L54" s="2"/>
      <c r="M54" s="2"/>
      <c r="N54" s="4"/>
    </row>
    <row r="55" spans="1:14">
      <c r="A55" s="33" t="s">
        <v>59</v>
      </c>
      <c r="B55" s="142"/>
      <c r="C55" s="39">
        <v>7.54</v>
      </c>
      <c r="D55" s="40">
        <v>7.5</v>
      </c>
      <c r="E55" s="40">
        <v>7.63</v>
      </c>
      <c r="F55" s="21">
        <f t="shared" si="2"/>
        <v>0.12999999999999989</v>
      </c>
      <c r="G55" s="36">
        <v>3.5000000000000003E-2</v>
      </c>
      <c r="H55" s="41">
        <v>7.54</v>
      </c>
      <c r="I55" s="137"/>
      <c r="J55" s="12"/>
      <c r="K55" s="2"/>
      <c r="L55" s="2"/>
      <c r="M55" s="2"/>
      <c r="N55" s="32"/>
    </row>
    <row r="56" spans="1:14">
      <c r="A56" s="33" t="s">
        <v>36</v>
      </c>
      <c r="B56" s="34" t="s">
        <v>67</v>
      </c>
      <c r="C56" s="39">
        <v>13.34</v>
      </c>
      <c r="D56" s="40">
        <v>13.32</v>
      </c>
      <c r="E56" s="40">
        <v>13.38</v>
      </c>
      <c r="F56" s="21">
        <f t="shared" si="2"/>
        <v>6.0000000000000497E-2</v>
      </c>
      <c r="G56" s="36">
        <v>2.1000000000000001E-2</v>
      </c>
      <c r="H56" s="41">
        <v>13.32</v>
      </c>
      <c r="I56" s="63" t="s">
        <v>88</v>
      </c>
      <c r="J56" s="12"/>
      <c r="K56" s="2"/>
      <c r="L56" s="2"/>
      <c r="M56" s="2"/>
      <c r="N56" s="4"/>
    </row>
    <row r="57" spans="1:14">
      <c r="A57" s="33" t="s">
        <v>37</v>
      </c>
      <c r="B57" s="34" t="s">
        <v>68</v>
      </c>
      <c r="C57" s="39">
        <v>23.03</v>
      </c>
      <c r="D57" s="40">
        <v>22.94</v>
      </c>
      <c r="E57" s="40">
        <v>23.18</v>
      </c>
      <c r="F57" s="21">
        <f t="shared" si="2"/>
        <v>0.23999999999999844</v>
      </c>
      <c r="G57" s="36">
        <v>5.8000000000000003E-2</v>
      </c>
      <c r="H57" s="41">
        <v>23.01</v>
      </c>
      <c r="I57" s="63" t="s">
        <v>93</v>
      </c>
      <c r="J57" s="12"/>
      <c r="K57" s="2"/>
      <c r="L57" s="2"/>
      <c r="M57" s="2"/>
      <c r="N57" s="4"/>
    </row>
    <row r="58" spans="1:14" ht="15.75" thickBot="1">
      <c r="A58" s="8" t="s">
        <v>35</v>
      </c>
      <c r="B58" s="18" t="s">
        <v>69</v>
      </c>
      <c r="C58" s="42">
        <v>8.5500000000000007</v>
      </c>
      <c r="D58" s="25">
        <v>8.4700000000000006</v>
      </c>
      <c r="E58" s="25">
        <v>8.66</v>
      </c>
      <c r="F58" s="25">
        <f t="shared" si="2"/>
        <v>0.1899999999999995</v>
      </c>
      <c r="G58" s="37">
        <v>4.7E-2</v>
      </c>
      <c r="H58" s="24">
        <v>8.51</v>
      </c>
      <c r="I58" s="65" t="s">
        <v>62</v>
      </c>
      <c r="J58" s="12"/>
      <c r="K58" s="2"/>
      <c r="L58" s="2"/>
      <c r="M58" s="2"/>
      <c r="N58" s="32"/>
    </row>
    <row r="59" spans="1:14" ht="15.75" thickTop="1">
      <c r="A59" s="86" t="s">
        <v>70</v>
      </c>
      <c r="B59" s="87"/>
      <c r="C59" s="87"/>
      <c r="D59" s="87"/>
      <c r="E59" s="87"/>
      <c r="F59" s="87"/>
      <c r="G59" s="87"/>
      <c r="H59" s="87"/>
      <c r="I59" s="88"/>
      <c r="J59" s="58"/>
      <c r="K59" s="59"/>
      <c r="L59" s="59"/>
      <c r="M59" s="59"/>
      <c r="N59" s="60"/>
    </row>
    <row r="60" spans="1:14">
      <c r="A60" s="89"/>
      <c r="B60" s="90"/>
      <c r="C60" s="90"/>
      <c r="D60" s="90"/>
      <c r="E60" s="90"/>
      <c r="F60" s="90"/>
      <c r="G60" s="90"/>
      <c r="H60" s="90"/>
      <c r="I60" s="91"/>
      <c r="J60" s="58"/>
      <c r="K60" s="59"/>
      <c r="L60" s="59"/>
      <c r="M60" s="59"/>
      <c r="N60" s="60"/>
    </row>
    <row r="61" spans="1:14">
      <c r="A61" s="89"/>
      <c r="B61" s="90"/>
      <c r="C61" s="90"/>
      <c r="D61" s="90"/>
      <c r="E61" s="90"/>
      <c r="F61" s="90"/>
      <c r="G61" s="90"/>
      <c r="H61" s="90"/>
      <c r="I61" s="91"/>
      <c r="J61" s="58"/>
      <c r="K61" s="59"/>
      <c r="L61" s="59"/>
      <c r="M61" s="59"/>
      <c r="N61" s="60"/>
    </row>
    <row r="62" spans="1:14" ht="15.75" thickBot="1">
      <c r="A62" s="92"/>
      <c r="B62" s="93"/>
      <c r="C62" s="93"/>
      <c r="D62" s="93"/>
      <c r="E62" s="93"/>
      <c r="F62" s="93"/>
      <c r="G62" s="93"/>
      <c r="H62" s="93"/>
      <c r="I62" s="94"/>
      <c r="J62" s="14"/>
      <c r="K62" s="15"/>
      <c r="L62" s="15"/>
      <c r="M62" s="15"/>
      <c r="N62" s="61"/>
    </row>
    <row r="63" spans="1:14" ht="15.75" thickTop="1"/>
    <row r="64" spans="1:14">
      <c r="A64" s="134" t="s">
        <v>87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</row>
    <row r="65" spans="1:14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</row>
  </sheetData>
  <mergeCells count="37">
    <mergeCell ref="A64:N65"/>
    <mergeCell ref="A59:I62"/>
    <mergeCell ref="I46:I48"/>
    <mergeCell ref="I49:I51"/>
    <mergeCell ref="I53:I55"/>
    <mergeCell ref="B46:B48"/>
    <mergeCell ref="B49:B51"/>
    <mergeCell ref="B53:B55"/>
    <mergeCell ref="A1:B3"/>
    <mergeCell ref="C1:L3"/>
    <mergeCell ref="B6:B7"/>
    <mergeCell ref="C6:H6"/>
    <mergeCell ref="A6:A7"/>
    <mergeCell ref="A5:I5"/>
    <mergeCell ref="M1:N3"/>
    <mergeCell ref="J39:L39"/>
    <mergeCell ref="M39:N39"/>
    <mergeCell ref="A40:A41"/>
    <mergeCell ref="B40:B41"/>
    <mergeCell ref="C40:H40"/>
    <mergeCell ref="K40:L40"/>
    <mergeCell ref="K6:L6"/>
    <mergeCell ref="J22:L22"/>
    <mergeCell ref="M22:N22"/>
    <mergeCell ref="A23:A24"/>
    <mergeCell ref="B23:B24"/>
    <mergeCell ref="C23:H23"/>
    <mergeCell ref="K23:L23"/>
    <mergeCell ref="M5:N5"/>
    <mergeCell ref="J5:L5"/>
    <mergeCell ref="A22:I22"/>
    <mergeCell ref="I23:I24"/>
    <mergeCell ref="I6:I7"/>
    <mergeCell ref="I40:I41"/>
    <mergeCell ref="A39:I39"/>
    <mergeCell ref="A17:I20"/>
    <mergeCell ref="A34:I37"/>
  </mergeCells>
  <printOptions horizontalCentered="1"/>
  <pageMargins left="0" right="0" top="0" bottom="0" header="0.31496062992125984" footer="0.31496062992125984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Microline</vt:lpstr>
      <vt:lpstr>Microline!Area_de_impressao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2019-07-03T20:06:15Z</cp:lastPrinted>
  <dcterms:created xsi:type="dcterms:W3CDTF">2019-07-02T15:32:44Z</dcterms:created>
  <dcterms:modified xsi:type="dcterms:W3CDTF">2019-07-05T11:14:43Z</dcterms:modified>
</cp:coreProperties>
</file>