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EstaPasta_de_trabalho" defaultThemeVersion="124226"/>
  <bookViews>
    <workbookView xWindow="1530" yWindow="1395" windowWidth="12675" windowHeight="11760" tabRatio="594"/>
  </bookViews>
  <sheets>
    <sheet name="Mapa Injetoras" sheetId="4" r:id="rId1"/>
    <sheet name="Desenhos Técnicos" sheetId="6" r:id="rId2"/>
    <sheet name="Ficha Técnica" sheetId="9" r:id="rId3"/>
    <sheet name="Kanban" sheetId="5" r:id="rId4"/>
    <sheet name="Calendário" sheetId="8" r:id="rId5"/>
    <sheet name="Dados dos moldes" sheetId="10" state="hidden" r:id="rId6"/>
  </sheets>
  <definedNames>
    <definedName name="_xlnm._FilterDatabase" localSheetId="3" hidden="1">Kanban!$X$36:$AD$36</definedName>
    <definedName name="_xlnm.Print_Area" localSheetId="5">'Dados dos moldes'!$A$1:$F$62</definedName>
    <definedName name="_xlnm.Print_Area" localSheetId="1">'Desenhos Técnicos'!$A$1:$AG$54</definedName>
    <definedName name="_xlnm.Print_Area" localSheetId="2">'Ficha Técnica'!$A$1:$AG$54</definedName>
    <definedName name="_xlnm.Print_Area" localSheetId="3">Kanban!$A$1:$AI$47</definedName>
    <definedName name="_xlnm.Print_Area" localSheetId="0">'Mapa Injetoras'!$A$1:$U$42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4" l="1"/>
  <c r="J41" i="4"/>
  <c r="G36" i="4" l="1"/>
  <c r="E41" i="4" l="1"/>
  <c r="D32" i="4"/>
  <c r="J16" i="4" l="1"/>
  <c r="D4" i="4" l="1"/>
  <c r="D12" i="4"/>
  <c r="D24" i="4"/>
  <c r="G8" i="4" l="1"/>
  <c r="S36" i="4" l="1"/>
  <c r="P36" i="4"/>
  <c r="M36" i="4"/>
  <c r="J36" i="4"/>
  <c r="G24" i="4" l="1"/>
  <c r="M24" i="4"/>
  <c r="M20" i="4"/>
  <c r="M16" i="4"/>
  <c r="M12" i="4"/>
  <c r="M8" i="4"/>
  <c r="M4" i="4"/>
  <c r="J4" i="4"/>
  <c r="J8" i="4"/>
  <c r="J12" i="4"/>
  <c r="J20" i="4"/>
  <c r="J24" i="4"/>
  <c r="D28" i="4"/>
  <c r="D20" i="4"/>
  <c r="D16" i="4"/>
  <c r="D8" i="4"/>
  <c r="AO35" i="5" l="1"/>
  <c r="AO37" i="5" l="1"/>
  <c r="X38" i="5" s="1"/>
  <c r="Y38" i="5" s="1"/>
  <c r="Z38" i="5" s="1"/>
  <c r="AA38" i="5" s="1"/>
  <c r="AB38" i="5" s="1"/>
  <c r="AC38" i="5" s="1"/>
  <c r="AD38" i="5" s="1"/>
  <c r="X39" i="5" s="1"/>
  <c r="Y39" i="5" s="1"/>
  <c r="Z39" i="5" s="1"/>
  <c r="AA39" i="5" s="1"/>
  <c r="AB39" i="5" s="1"/>
  <c r="AC39" i="5" s="1"/>
  <c r="AD39" i="5" s="1"/>
  <c r="X40" i="5" s="1"/>
  <c r="Y40" i="5" s="1"/>
  <c r="Z40" i="5" s="1"/>
  <c r="AA40" i="5" s="1"/>
  <c r="AB40" i="5" s="1"/>
  <c r="AC40" i="5" s="1"/>
  <c r="AD40" i="5" s="1"/>
  <c r="X41" i="5" s="1"/>
  <c r="Y41" i="5" s="1"/>
  <c r="Z41" i="5" s="1"/>
  <c r="AA41" i="5" s="1"/>
  <c r="AB41" i="5" s="1"/>
  <c r="AC41" i="5" s="1"/>
  <c r="AD41" i="5" s="1"/>
  <c r="X42" i="5" s="1"/>
  <c r="Y42" i="5" s="1"/>
  <c r="Z42" i="5" s="1"/>
  <c r="AA42" i="5" s="1"/>
  <c r="AB42" i="5" s="1"/>
  <c r="AC42" i="5" s="1"/>
  <c r="AD42" i="5" s="1"/>
  <c r="X43" i="5" s="1"/>
  <c r="Y43" i="5" s="1"/>
  <c r="Z43" i="5" s="1"/>
  <c r="AA43" i="5" s="1"/>
  <c r="AB43" i="5" s="1"/>
  <c r="AC43" i="5" s="1"/>
  <c r="AD43" i="5" s="1"/>
  <c r="AO36" i="5" l="1"/>
</calcChain>
</file>

<file path=xl/sharedStrings.xml><?xml version="1.0" encoding="utf-8"?>
<sst xmlns="http://schemas.openxmlformats.org/spreadsheetml/2006/main" count="674" uniqueCount="324">
  <si>
    <t xml:space="preserve">   MAPA INJETORAS</t>
  </si>
  <si>
    <t>Todos os direitos reservados por Márcio Marques e Lucas Ávila © 2025</t>
  </si>
  <si>
    <t xml:space="preserve">   KANBAN</t>
  </si>
  <si>
    <t>Dom</t>
  </si>
  <si>
    <t>Seg</t>
  </si>
  <si>
    <t>Ter</t>
  </si>
  <si>
    <t>Qua</t>
  </si>
  <si>
    <t>Qui</t>
  </si>
  <si>
    <t>Sex</t>
  </si>
  <si>
    <t>Sáb</t>
  </si>
  <si>
    <t>Janeiro</t>
  </si>
  <si>
    <t>Inicio</t>
  </si>
  <si>
    <t>Fevereiro</t>
  </si>
  <si>
    <t>fim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</si>
  <si>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</si>
  <si>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</si>
  <si>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</si>
  <si>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</si>
  <si>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</si>
  <si>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</si>
  <si>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</si>
  <si>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</si>
  <si>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</si>
  <si>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</si>
  <si>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ENGEL 32</t>
  </si>
  <si>
    <t>MOLDE</t>
  </si>
  <si>
    <t>10A</t>
  </si>
  <si>
    <t>116A</t>
  </si>
  <si>
    <t>11A</t>
  </si>
  <si>
    <t>145A</t>
  </si>
  <si>
    <t>145B</t>
  </si>
  <si>
    <t>145C</t>
  </si>
  <si>
    <t>145D</t>
  </si>
  <si>
    <t>145E</t>
  </si>
  <si>
    <t>147A</t>
  </si>
  <si>
    <t>147B</t>
  </si>
  <si>
    <t>14A</t>
  </si>
  <si>
    <t>167A</t>
  </si>
  <si>
    <t>2AB</t>
  </si>
  <si>
    <t>3A</t>
  </si>
  <si>
    <t>5.1A</t>
  </si>
  <si>
    <t>5A</t>
  </si>
  <si>
    <t>6A</t>
  </si>
  <si>
    <t>7A</t>
  </si>
  <si>
    <t>TUBO</t>
  </si>
  <si>
    <t>MOLDES</t>
  </si>
  <si>
    <t>DESCRIÇÃO</t>
  </si>
  <si>
    <t>Tampinha Q.B / Pincel</t>
  </si>
  <si>
    <t>Tampa Reab. Q.B</t>
  </si>
  <si>
    <t>Tampa Reab. Pincel</t>
  </si>
  <si>
    <t>ENGEL 31</t>
  </si>
  <si>
    <t>Arruela de vedação para cola</t>
  </si>
  <si>
    <t>Bico de Cola</t>
  </si>
  <si>
    <t>Tampa para Cola 1000g</t>
  </si>
  <si>
    <t>Apagador</t>
  </si>
  <si>
    <t>Pega para Frasco Limpeza</t>
  </si>
  <si>
    <t>Suporte para Marcador Q.B</t>
  </si>
  <si>
    <t>Tampinha Carga 1006</t>
  </si>
  <si>
    <t>Botão Vip</t>
  </si>
  <si>
    <t>Clip Esf 07 VIP Retrátil</t>
  </si>
  <si>
    <t>Conector Magister</t>
  </si>
  <si>
    <t>Conexão Esferográficas</t>
  </si>
  <si>
    <t>Corpo 07 / Economic</t>
  </si>
  <si>
    <t>Tampinha Neo Pen</t>
  </si>
  <si>
    <t>Conexão Microline</t>
  </si>
  <si>
    <t>Tampinha Microline</t>
  </si>
  <si>
    <t>Tampa Microline</t>
  </si>
  <si>
    <t>Corpo Q.B</t>
  </si>
  <si>
    <t>Tampa Q.B</t>
  </si>
  <si>
    <t>Corpo Top</t>
  </si>
  <si>
    <t>Corpo Destaq</t>
  </si>
  <si>
    <t>Tampinha Destaq</t>
  </si>
  <si>
    <t>Tampa Destaq</t>
  </si>
  <si>
    <t>Tampa Neo Pen</t>
  </si>
  <si>
    <t>Corpo Color</t>
  </si>
  <si>
    <t>Tampinha Color</t>
  </si>
  <si>
    <t>Tampinha Esferográfica</t>
  </si>
  <si>
    <t>Tubo</t>
  </si>
  <si>
    <t>Corpo 07 Plus</t>
  </si>
  <si>
    <t>Corpo 07 Vip retrátil</t>
  </si>
  <si>
    <t>Estojo Magister</t>
  </si>
  <si>
    <t>Corpo Pincel</t>
  </si>
  <si>
    <t>Conector Duo Plus</t>
  </si>
  <si>
    <t>Corpo Tinteiro</t>
  </si>
  <si>
    <t>Dianteira e Traseira Duo Plus</t>
  </si>
  <si>
    <t>Diânteira Tinteiro</t>
  </si>
  <si>
    <t>Inserto da Tampa e Tampinha</t>
  </si>
  <si>
    <t>Tampa Interna Duo Plus</t>
  </si>
  <si>
    <t>Tampa Marca Texto Duo Plus</t>
  </si>
  <si>
    <t>Tampa Roller Duo Plus</t>
  </si>
  <si>
    <t>Tampa Tinteiro</t>
  </si>
  <si>
    <t>Tampa Esf. 07</t>
  </si>
  <si>
    <t>Tampa Esf. 07 Plus</t>
  </si>
  <si>
    <t>Tampa Esf. Top</t>
  </si>
  <si>
    <t>Corpo NPG</t>
  </si>
  <si>
    <t>Corpo NPM</t>
  </si>
  <si>
    <t>Tampa Color</t>
  </si>
  <si>
    <t>Botão Lapiseira Técnico</t>
  </si>
  <si>
    <t>Botão Lapiseira Turbo</t>
  </si>
  <si>
    <t>Corpo Lapiseira Aluno</t>
  </si>
  <si>
    <t>Corpo Lapiseira Técnico</t>
  </si>
  <si>
    <t>Corpo Lapiseira Turbo</t>
  </si>
  <si>
    <t>Dianteira Lapiseira Técnico</t>
  </si>
  <si>
    <t>Corpo Marcador Maxx</t>
  </si>
  <si>
    <t>Tampa Marcador Maxx</t>
  </si>
  <si>
    <t>Tampinha Marcador Maxx</t>
  </si>
  <si>
    <t>Bico Reabastecedor</t>
  </si>
  <si>
    <t>Tampa Cônica</t>
  </si>
  <si>
    <t>Tampa Pincel</t>
  </si>
  <si>
    <t>-</t>
  </si>
  <si>
    <t>Sem Molde</t>
  </si>
  <si>
    <t>Frasco Reab. 40ml</t>
  </si>
  <si>
    <t>ENGEL 34</t>
  </si>
  <si>
    <t>ENGEL 35</t>
  </si>
  <si>
    <t>ENGEL 33</t>
  </si>
  <si>
    <t>ROMI 40</t>
  </si>
  <si>
    <t>Expositor</t>
  </si>
  <si>
    <t>ARBURG 36</t>
  </si>
  <si>
    <t>ARBURG 48</t>
  </si>
  <si>
    <t>ARBURG 49</t>
  </si>
  <si>
    <t>ARBURG 50</t>
  </si>
  <si>
    <t>ROMI 37</t>
  </si>
  <si>
    <t>ROMI 09</t>
  </si>
  <si>
    <t>ENGEL 06</t>
  </si>
  <si>
    <t>ENGEL 07</t>
  </si>
  <si>
    <t>ENGEL 08</t>
  </si>
  <si>
    <t>ROMI 29</t>
  </si>
  <si>
    <t>ROMI 30</t>
  </si>
  <si>
    <t>ROMI 39</t>
  </si>
  <si>
    <t>ROMI 44</t>
  </si>
  <si>
    <t>ROMI 45</t>
  </si>
  <si>
    <t>ARBURG 52</t>
  </si>
  <si>
    <t>ARBURG 51</t>
  </si>
  <si>
    <t>ROMI 42</t>
  </si>
  <si>
    <t>ROMI 38</t>
  </si>
  <si>
    <t>ROMI 43</t>
  </si>
  <si>
    <t>ENGEL 05</t>
  </si>
  <si>
    <t>ENGEL 03</t>
  </si>
  <si>
    <t xml:space="preserve"> </t>
  </si>
  <si>
    <t>,</t>
  </si>
  <si>
    <t>Todos os direitos reservados por Márcio Marques e Diogo de Jesus © 2025</t>
  </si>
  <si>
    <t>Mecanismo Esf. Tec. Femea</t>
  </si>
  <si>
    <t>Tampa estojo grafite 2mm</t>
  </si>
  <si>
    <t>GRADE DE MOLDES</t>
  </si>
  <si>
    <t>CUSTO</t>
  </si>
  <si>
    <t>CAV.</t>
  </si>
  <si>
    <t>MATERIA-PRIMA</t>
  </si>
  <si>
    <t>PROJETO</t>
  </si>
  <si>
    <t>FABRICANTE</t>
  </si>
  <si>
    <t>TAMPA DE ESTOJO GRAFITE 2mm</t>
  </si>
  <si>
    <t>COMPACTOR</t>
  </si>
  <si>
    <t>PEÇA 2</t>
  </si>
  <si>
    <t>MEB-12/03</t>
  </si>
  <si>
    <t>PEÇA 1</t>
  </si>
  <si>
    <t>MEC 11/01</t>
  </si>
  <si>
    <t>PORTA PEN GRANDE</t>
  </si>
  <si>
    <t>BOTÃO LAPISEIRA TURBO</t>
  </si>
  <si>
    <t>MLG 08/1</t>
  </si>
  <si>
    <t>CORPO ALUNO</t>
  </si>
  <si>
    <t>MATOS</t>
  </si>
  <si>
    <t>TAMPINHA ESFEROGRÁFICA 07 E TOP</t>
  </si>
  <si>
    <t>47-01-2</t>
  </si>
  <si>
    <t>LAMBRECHT</t>
  </si>
  <si>
    <t>CONEXÃO ESFEROGRÁFICA 07 E TOP</t>
  </si>
  <si>
    <t>47-01-1+2</t>
  </si>
  <si>
    <t>TAMPINHA NEO-PEN</t>
  </si>
  <si>
    <t>47-02-1</t>
  </si>
  <si>
    <t>TAMPA ESFEROGRÁFICA TOP</t>
  </si>
  <si>
    <t>S-0199</t>
  </si>
  <si>
    <t>SCHNEIDER</t>
  </si>
  <si>
    <t>TAMPINHA COLOR</t>
  </si>
  <si>
    <t>ABC</t>
  </si>
  <si>
    <t>TAMPA COLOR</t>
  </si>
  <si>
    <t>TAMPA ESFEROGRÁFICA 07</t>
  </si>
  <si>
    <t>47-10-1</t>
  </si>
  <si>
    <t>CORPO NEO-PEN MIRIM</t>
  </si>
  <si>
    <t>47-14-1</t>
  </si>
  <si>
    <t>TAMPA NEO-PEN</t>
  </si>
  <si>
    <t>47-11-1</t>
  </si>
  <si>
    <t>APAGADOR QB</t>
  </si>
  <si>
    <t>AT-037</t>
  </si>
  <si>
    <t>ALFATECNICS</t>
  </si>
  <si>
    <t>TAMPA FRASCO DE COLA 250g - 500g - 1000g</t>
  </si>
  <si>
    <t xml:space="preserve">LKM 866 </t>
  </si>
  <si>
    <t>COREANO</t>
  </si>
  <si>
    <t>CORPO LAPISEIRA TURBO</t>
  </si>
  <si>
    <t>WKZ-646</t>
  </si>
  <si>
    <t xml:space="preserve"> S-0135</t>
  </si>
  <si>
    <t>47-19-1</t>
  </si>
  <si>
    <t>47-22-1</t>
  </si>
  <si>
    <t>CORPO COLOR</t>
  </si>
  <si>
    <t>47-23-1</t>
  </si>
  <si>
    <t>CONEXÃO MICROLINE</t>
  </si>
  <si>
    <t>SW 9987</t>
  </si>
  <si>
    <t>TAMPINHA MICROLINE</t>
  </si>
  <si>
    <t>SW 9988</t>
  </si>
  <si>
    <t>TAMPA MICROLINE</t>
  </si>
  <si>
    <t>SW 9986</t>
  </si>
  <si>
    <t>CORPO 07 PLUS</t>
  </si>
  <si>
    <t>SW 1066</t>
  </si>
  <si>
    <t>TAMPA 07 PLUS</t>
  </si>
  <si>
    <t>SW 1065</t>
  </si>
  <si>
    <t>CONEXÃO ESFEROGRÁFICA 140mm</t>
  </si>
  <si>
    <t>BICO PARA REABASTECEDOR</t>
  </si>
  <si>
    <t>AT-096</t>
  </si>
  <si>
    <t>BOTÃO LAPISEIRA TÉCNICO</t>
  </si>
  <si>
    <t>HKB 121-1</t>
  </si>
  <si>
    <t>CORPO LAPISEIRA TÉCNICO</t>
  </si>
  <si>
    <t>HKB 120</t>
  </si>
  <si>
    <t>PONTEIRA LAPISEIRA TÉCNICO</t>
  </si>
  <si>
    <t xml:space="preserve"> HKB 119</t>
  </si>
  <si>
    <t>TAMPA MARCADOR DESTAQ</t>
  </si>
  <si>
    <t>SW 1244</t>
  </si>
  <si>
    <t>TAMPINHA MARCADOR DESTAQ</t>
  </si>
  <si>
    <t>SW 1246</t>
  </si>
  <si>
    <t>CORPO MARCADOR DESTAQ</t>
  </si>
  <si>
    <t>SW 1245</t>
  </si>
  <si>
    <t>CORPO ESFEROGRÁFICA 07 - ECONOMIC</t>
  </si>
  <si>
    <t>47-24-1</t>
  </si>
  <si>
    <t>SW 1307</t>
  </si>
  <si>
    <t>SW 1348</t>
  </si>
  <si>
    <t>SUPORTE PARA QB</t>
  </si>
  <si>
    <t>AT-095</t>
  </si>
  <si>
    <t>PEGA PARA FRASCO LIMPADOR QB</t>
  </si>
  <si>
    <t>AT-104</t>
  </si>
  <si>
    <t>CORPO TINTEIRO</t>
  </si>
  <si>
    <t>HKB 134</t>
  </si>
  <si>
    <t>BASE DA TAMPA TINTEIRO</t>
  </si>
  <si>
    <t>HKB 135</t>
  </si>
  <si>
    <t>INSERTO DA TAMPA</t>
  </si>
  <si>
    <t>HKB 136</t>
  </si>
  <si>
    <t>DIANTEIRA TINTEIRO</t>
  </si>
  <si>
    <t>HKB 137</t>
  </si>
  <si>
    <t>DIANTEIRA E TRASEIRA DUO-PLUS</t>
  </si>
  <si>
    <t>HKB 138</t>
  </si>
  <si>
    <t>CONECTOR DUO-PLUS</t>
  </si>
  <si>
    <t>HKB 139</t>
  </si>
  <si>
    <t>TAMPA TRASEIRA DUO-PLUS</t>
  </si>
  <si>
    <t>HKB 140</t>
  </si>
  <si>
    <t>BASE DA TAMPA DUO-PLUS E ESF. 201</t>
  </si>
  <si>
    <t>HKB 141</t>
  </si>
  <si>
    <t>TAMPA INTERNA DUO-PLUS</t>
  </si>
  <si>
    <t>HKB 142</t>
  </si>
  <si>
    <t>SW 1365</t>
  </si>
  <si>
    <t>CORPO ESFEROGRÁFICA 201</t>
  </si>
  <si>
    <t>13-0907</t>
  </si>
  <si>
    <t>CORPO 07 VIP RETRÁTIL</t>
  </si>
  <si>
    <t>SW 1401</t>
  </si>
  <si>
    <t>TAMPA 07 VIP RETRÁTIL</t>
  </si>
  <si>
    <t>SW 1400</t>
  </si>
  <si>
    <t>MECANISMO 07 VIP RETRÁTIL</t>
  </si>
  <si>
    <t>SW 1402</t>
  </si>
  <si>
    <t>CORPO ESTOJO MAGISTER</t>
  </si>
  <si>
    <t>CEM - 001</t>
  </si>
  <si>
    <t>CONEXÃO ESTOJO MAGISTER</t>
  </si>
  <si>
    <t>K2500</t>
  </si>
  <si>
    <t>BICO DE COLA</t>
  </si>
  <si>
    <t>CEM-002</t>
  </si>
  <si>
    <t>TAMPA MARCADOR QB COM CLIP</t>
  </si>
  <si>
    <t>C.16-09-01</t>
  </si>
  <si>
    <t>CORPO ESFEROGRÁFICA TOP</t>
  </si>
  <si>
    <t>C.01-18</t>
  </si>
  <si>
    <t>CORPO MARCADOR PINCEL</t>
  </si>
  <si>
    <t>C.02-19</t>
  </si>
  <si>
    <t>C.03-19</t>
  </si>
  <si>
    <t>C.04-19</t>
  </si>
  <si>
    <t>CORPO NEO-PEN GIGANTE</t>
  </si>
  <si>
    <t>C.05-20</t>
  </si>
  <si>
    <t>C.07-20</t>
  </si>
  <si>
    <t>C.01-22</t>
  </si>
  <si>
    <t>C.06-20B</t>
  </si>
  <si>
    <t>C.21-09-01</t>
  </si>
  <si>
    <t>C.21-09-02</t>
  </si>
  <si>
    <t>ARRUELA DE VEDAÇÃO PARA TAMPA DE FRASCO 250g</t>
  </si>
  <si>
    <t>C.01-23</t>
  </si>
  <si>
    <t>MECANISMO MACHO ESFEROGRÁFICA TÉCNICO (SEM ROSCA)</t>
  </si>
  <si>
    <t>SW 1950</t>
  </si>
  <si>
    <t>MECANISMO FÊMEA ESFEROGRÁFICA TÉCNICO (COM ROSCA)</t>
  </si>
  <si>
    <t>SW 1951</t>
  </si>
  <si>
    <t xml:space="preserve">EXPOSITOR 16 COMPARTIMENTOS </t>
  </si>
  <si>
    <t>TJ-2505</t>
  </si>
  <si>
    <t>MOLDE PILOTO PARA TRYOUT</t>
  </si>
  <si>
    <t>PLACA DE TESTE</t>
  </si>
  <si>
    <t>BUCHA COM ROSCA (MANDÍBULA)</t>
  </si>
  <si>
    <t>FRASCO REABASTECEDOR PINCEM 20ml</t>
  </si>
  <si>
    <t>HDB INJECTION BLOW</t>
  </si>
  <si>
    <t>CORPO MARCADOR QB</t>
  </si>
  <si>
    <t>47-08-1</t>
  </si>
  <si>
    <t>TAMPA COLA CÔNICA</t>
  </si>
  <si>
    <t>AT-070</t>
  </si>
  <si>
    <t>TAMPA MARCADOR PINCEL</t>
  </si>
  <si>
    <t>AT-069</t>
  </si>
  <si>
    <t>TAMPINHA MARCADOR PINCEL E QB</t>
  </si>
  <si>
    <t>AT-074</t>
  </si>
  <si>
    <t>TAMPA REABASTECEDOR QB</t>
  </si>
  <si>
    <t>TAMPA REABASTECEDOR PINCEL</t>
  </si>
  <si>
    <t>AT-073</t>
  </si>
  <si>
    <t>AT-075</t>
  </si>
  <si>
    <t>FRASCO REABASTECEDOR DE 40g</t>
  </si>
  <si>
    <t>SW 1308</t>
  </si>
  <si>
    <t>167B</t>
  </si>
  <si>
    <t>CONEXÃO ESFEROGRÁFICA PONTA AGULHA</t>
  </si>
  <si>
    <t>FRASCO 250g</t>
  </si>
  <si>
    <t>69A</t>
  </si>
  <si>
    <t>TAMPINHA DO BOTÃO DA ESFEROGRÁFICA TÉCNICO</t>
  </si>
  <si>
    <t>FRASCO 500g</t>
  </si>
  <si>
    <t>FRASCO 1000g</t>
  </si>
  <si>
    <t>Consultas</t>
  </si>
  <si>
    <t>PP400</t>
  </si>
  <si>
    <t>Mecanismo Esf. Tec. Macho</t>
  </si>
  <si>
    <t>ABS</t>
  </si>
  <si>
    <t>POLICABORNATO</t>
  </si>
  <si>
    <t>PS-CRISTAL</t>
  </si>
  <si>
    <t>POLIACETAL</t>
  </si>
  <si>
    <t>SANTOPRENE</t>
  </si>
  <si>
    <t>TPE</t>
  </si>
  <si>
    <t>PP FT120</t>
  </si>
  <si>
    <t>PEAD80% + PEBD20% (SOPRO)</t>
  </si>
  <si>
    <t>PEAD (SOPRO)</t>
  </si>
  <si>
    <t>PEAD 20% + PEBD 80%</t>
  </si>
  <si>
    <t>PEBD (INJEÇÃO)</t>
  </si>
  <si>
    <t>POLIPROPILENO</t>
  </si>
  <si>
    <t>POLIETILENO</t>
  </si>
  <si>
    <t>POLIESTIRENO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</si>
</sst>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800]dddd\,\ mmmm\ dd\,\ yyyy"/>
    <numFmt numFmtId="165" formatCode="dd"/>
  </numFmts>
  <fonts count="2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45"/>
      <color theme="1"/>
      <name val="Century Gothic"/>
      <family val="2"/>
    </font>
    <font>
      <b/>
      <sz val="22"/>
      <color theme="0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sz val="2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sz val="14"/>
      <color theme="1"/>
      <name val="Century Gothic"/>
      <family val="2"/>
    </font>
    <font>
      <sz val="8"/>
      <color theme="1"/>
      <name val="Tahoma"/>
      <family val="2"/>
    </font>
    <font>
      <b/>
      <sz val="20"/>
      <color theme="0" tint="-4.9989318521683403E-2"/>
      <name val="Century Gothic"/>
      <family val="2"/>
    </font>
    <font>
      <b/>
      <sz val="14"/>
      <color theme="1"/>
      <name val="Century Gothic"/>
      <family val="2"/>
    </font>
    <font>
      <b/>
      <sz val="45"/>
      <color theme="1"/>
      <name val="Century Gothic"/>
      <family val="2"/>
    </font>
    <font>
      <u/>
      <sz val="45"/>
      <color theme="1"/>
      <name val="Century Gothic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24"/>
      <color theme="1"/>
      <name val="Calibri"/>
      <family val="2"/>
    </font>
    <font>
      <b/>
      <sz val="11"/>
      <color rgb="FF000000"/>
      <name val="Calibri"/>
      <family val="2"/>
      <scheme val="minor"/>
    </font>
    <font>
      <b/>
      <sz val="14"/>
      <name val="Century Gothic"/>
      <family val="2"/>
    </font>
  </fonts>
  <fills count="22">
    <fill>
      <patternFill patternType="none"/>
    </fill>
    <fill>
      <patternFill patternType="gray125"/>
    </fill>
    <fill>
      <patternFill patternType="solid">
        <fgColor rgb="FF0F0D2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8BF57D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AAA064"/>
        <bgColor indexed="64"/>
      </patternFill>
    </fill>
    <fill>
      <patternFill patternType="solid">
        <fgColor rgb="FFFFB446"/>
        <bgColor indexed="64"/>
      </patternFill>
    </fill>
    <fill>
      <patternFill patternType="solid">
        <fgColor rgb="FFFFD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64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rgb="FF000000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6" tint="-0.499984740745262"/>
      </left>
      <right/>
      <top/>
      <bottom style="medium">
        <color theme="6" tint="-0.499984740745262"/>
      </bottom>
      <diagonal/>
    </border>
    <border>
      <left/>
      <right style="medium">
        <color theme="6" tint="-0.499984740745262"/>
      </right>
      <top/>
      <bottom style="medium">
        <color theme="6" tint="-0.499984740745262"/>
      </bottom>
      <diagonal/>
    </border>
    <border>
      <left style="medium">
        <color theme="6" tint="-0.499984740745262"/>
      </left>
      <right/>
      <top style="medium">
        <color theme="6" tint="-0.499984740745262"/>
      </top>
      <bottom style="medium">
        <color theme="6" tint="-0.499984740745262"/>
      </bottom>
      <diagonal/>
    </border>
    <border>
      <left/>
      <right style="medium">
        <color theme="6" tint="-0.499984740745262"/>
      </right>
      <top style="medium">
        <color theme="6" tint="-0.499984740745262"/>
      </top>
      <bottom style="medium">
        <color theme="6" tint="-0.499984740745262"/>
      </bottom>
      <diagonal/>
    </border>
    <border>
      <left style="medium">
        <color theme="6" tint="-0.499984740745262"/>
      </left>
      <right/>
      <top style="medium">
        <color theme="6" tint="-0.499984740745262"/>
      </top>
      <bottom/>
      <diagonal/>
    </border>
    <border>
      <left/>
      <right style="medium">
        <color theme="6" tint="-0.499984740745262"/>
      </right>
      <top style="medium">
        <color theme="6" tint="-0.499984740745262"/>
      </top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theme="6" tint="-0.499984740745262"/>
      </left>
      <right style="medium">
        <color theme="6" tint="-0.499984740745262"/>
      </right>
      <top/>
      <bottom/>
      <diagonal/>
    </border>
    <border>
      <left style="medium">
        <color theme="6" tint="-0.499984740745262"/>
      </left>
      <right/>
      <top/>
      <bottom/>
      <diagonal/>
    </border>
    <border>
      <left/>
      <right/>
      <top style="medium">
        <color rgb="FF0070C0"/>
      </top>
      <bottom/>
      <diagonal/>
    </border>
    <border>
      <left/>
      <right/>
      <top style="medium">
        <color theme="6" tint="-0.499984740745262"/>
      </top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rgb="FF0070C0"/>
      </bottom>
      <diagonal/>
    </border>
    <border>
      <left/>
      <right/>
      <top style="medium">
        <color rgb="FF0070C0"/>
      </top>
      <bottom style="medium">
        <color theme="0" tint="-0.499984740745262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rgb="FF0070C0"/>
      </bottom>
      <diagonal/>
    </border>
    <border>
      <left/>
      <right/>
      <top style="medium">
        <color theme="6" tint="-0.499984740745262"/>
      </top>
      <bottom style="medium">
        <color theme="6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4" borderId="0" xfId="0" applyFill="1"/>
    <xf numFmtId="0" fontId="2" fillId="3" borderId="1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3" borderId="1" xfId="0" applyFont="1" applyFill="1" applyBorder="1" applyAlignment="1">
      <alignment vertical="top"/>
    </xf>
    <xf numFmtId="0" fontId="2" fillId="3" borderId="0" xfId="0" applyFont="1" applyFill="1" applyAlignment="1">
      <alignment vertical="top"/>
    </xf>
    <xf numFmtId="164" fontId="2" fillId="3" borderId="0" xfId="0" applyNumberFormat="1" applyFont="1" applyFill="1" applyAlignment="1">
      <alignment vertical="top"/>
    </xf>
    <xf numFmtId="0" fontId="0" fillId="3" borderId="0" xfId="0" applyFill="1"/>
    <xf numFmtId="0" fontId="4" fillId="3" borderId="7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3" borderId="0" xfId="0" applyFont="1" applyFill="1"/>
    <xf numFmtId="0" fontId="1" fillId="3" borderId="2" xfId="0" applyFont="1" applyFill="1" applyBorder="1"/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4" fontId="6" fillId="0" borderId="20" xfId="0" applyNumberFormat="1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6" fillId="0" borderId="22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65" fontId="5" fillId="3" borderId="10" xfId="0" applyNumberFormat="1" applyFont="1" applyFill="1" applyBorder="1" applyAlignment="1">
      <alignment horizontal="center" vertical="center"/>
    </xf>
    <xf numFmtId="165" fontId="5" fillId="3" borderId="9" xfId="0" applyNumberFormat="1" applyFont="1" applyFill="1" applyBorder="1" applyAlignment="1">
      <alignment horizontal="center" vertical="center"/>
    </xf>
    <xf numFmtId="165" fontId="5" fillId="3" borderId="11" xfId="0" applyNumberFormat="1" applyFont="1" applyFill="1" applyBorder="1" applyAlignment="1">
      <alignment horizontal="center" vertical="center"/>
    </xf>
    <xf numFmtId="165" fontId="5" fillId="3" borderId="12" xfId="0" applyNumberFormat="1" applyFont="1" applyFill="1" applyBorder="1" applyAlignment="1">
      <alignment horizontal="center" vertical="center"/>
    </xf>
    <xf numFmtId="165" fontId="5" fillId="3" borderId="13" xfId="0" applyNumberFormat="1" applyFont="1" applyFill="1" applyBorder="1" applyAlignment="1">
      <alignment horizontal="center" vertical="center"/>
    </xf>
    <xf numFmtId="165" fontId="5" fillId="3" borderId="14" xfId="0" applyNumberFormat="1" applyFont="1" applyFill="1" applyBorder="1" applyAlignment="1">
      <alignment horizontal="center" vertical="center"/>
    </xf>
    <xf numFmtId="0" fontId="6" fillId="0" borderId="22" xfId="0" applyFont="1" applyBorder="1" applyAlignment="1">
      <alignment horizontal="right" vertical="center"/>
    </xf>
    <xf numFmtId="0" fontId="0" fillId="0" borderId="9" xfId="0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5" borderId="23" xfId="0" applyFont="1" applyFill="1" applyBorder="1" applyAlignment="1">
      <alignment horizontal="right" vertical="top"/>
    </xf>
    <xf numFmtId="0" fontId="8" fillId="5" borderId="24" xfId="0" applyFont="1" applyFill="1" applyBorder="1" applyAlignment="1">
      <alignment horizontal="left" vertical="top"/>
    </xf>
    <xf numFmtId="0" fontId="8" fillId="7" borderId="29" xfId="0" applyFont="1" applyFill="1" applyBorder="1" applyAlignment="1">
      <alignment horizontal="right" vertical="top"/>
    </xf>
    <xf numFmtId="0" fontId="8" fillId="7" borderId="30" xfId="0" applyFont="1" applyFill="1" applyBorder="1" applyAlignment="1">
      <alignment horizontal="left" vertical="top"/>
    </xf>
    <xf numFmtId="0" fontId="8" fillId="9" borderId="35" xfId="0" applyFont="1" applyFill="1" applyBorder="1" applyAlignment="1">
      <alignment horizontal="right" vertical="top"/>
    </xf>
    <xf numFmtId="0" fontId="8" fillId="9" borderId="36" xfId="0" applyFont="1" applyFill="1" applyBorder="1" applyAlignment="1">
      <alignment horizontal="left" vertical="top"/>
    </xf>
    <xf numFmtId="0" fontId="2" fillId="3" borderId="43" xfId="0" applyFont="1" applyFill="1" applyBorder="1" applyAlignment="1">
      <alignment vertical="top"/>
    </xf>
    <xf numFmtId="0" fontId="2" fillId="3" borderId="47" xfId="0" applyFont="1" applyFill="1" applyBorder="1" applyAlignment="1">
      <alignment vertical="top"/>
    </xf>
    <xf numFmtId="0" fontId="2" fillId="3" borderId="46" xfId="0" applyFont="1" applyFill="1" applyBorder="1" applyAlignment="1">
      <alignment vertical="top"/>
    </xf>
    <xf numFmtId="0" fontId="2" fillId="3" borderId="45" xfId="0" applyFont="1" applyFill="1" applyBorder="1" applyAlignment="1">
      <alignment vertical="top"/>
    </xf>
    <xf numFmtId="0" fontId="2" fillId="3" borderId="42" xfId="0" applyFont="1" applyFill="1" applyBorder="1" applyAlignment="1">
      <alignment vertical="top"/>
    </xf>
    <xf numFmtId="0" fontId="2" fillId="3" borderId="41" xfId="0" applyFont="1" applyFill="1" applyBorder="1" applyAlignment="1">
      <alignment vertical="center"/>
    </xf>
    <xf numFmtId="0" fontId="13" fillId="3" borderId="0" xfId="0" applyFont="1" applyFill="1" applyAlignment="1">
      <alignment vertical="top"/>
    </xf>
    <xf numFmtId="0" fontId="2" fillId="3" borderId="44" xfId="0" applyFont="1" applyFill="1" applyBorder="1" applyAlignment="1">
      <alignment vertical="top"/>
    </xf>
    <xf numFmtId="0" fontId="16" fillId="12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13" borderId="9" xfId="0" applyFont="1" applyFill="1" applyBorder="1" applyAlignment="1">
      <alignment horizontal="center" vertical="center"/>
    </xf>
    <xf numFmtId="0" fontId="14" fillId="14" borderId="9" xfId="0" applyFont="1" applyFill="1" applyBorder="1" applyAlignment="1">
      <alignment horizontal="center" vertical="center"/>
    </xf>
    <xf numFmtId="0" fontId="14" fillId="15" borderId="9" xfId="0" applyFont="1" applyFill="1" applyBorder="1" applyAlignment="1">
      <alignment horizontal="center" vertical="center"/>
    </xf>
    <xf numFmtId="0" fontId="17" fillId="16" borderId="9" xfId="0" applyFont="1" applyFill="1" applyBorder="1" applyAlignment="1">
      <alignment horizontal="center" vertical="center"/>
    </xf>
    <xf numFmtId="0" fontId="14" fillId="17" borderId="9" xfId="0" applyFont="1" applyFill="1" applyBorder="1" applyAlignment="1">
      <alignment horizontal="center" vertical="center"/>
    </xf>
    <xf numFmtId="0" fontId="17" fillId="18" borderId="9" xfId="0" applyFont="1" applyFill="1" applyBorder="1" applyAlignment="1">
      <alignment horizontal="center" vertical="center"/>
    </xf>
    <xf numFmtId="0" fontId="14" fillId="19" borderId="9" xfId="0" applyFont="1" applyFill="1" applyBorder="1" applyAlignment="1">
      <alignment horizontal="center" vertical="center"/>
    </xf>
    <xf numFmtId="0" fontId="14" fillId="20" borderId="9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21" borderId="9" xfId="0" applyFont="1" applyFill="1" applyBorder="1" applyAlignment="1">
      <alignment horizontal="center" vertical="center"/>
    </xf>
    <xf numFmtId="0" fontId="18" fillId="12" borderId="9" xfId="0" applyFont="1" applyFill="1" applyBorder="1" applyAlignment="1">
      <alignment horizontal="center" vertical="center"/>
    </xf>
    <xf numFmtId="0" fontId="12" fillId="3" borderId="0" xfId="0" applyFont="1" applyFill="1" applyAlignment="1">
      <alignment vertical="top"/>
    </xf>
    <xf numFmtId="0" fontId="11" fillId="7" borderId="31" xfId="0" applyFont="1" applyFill="1" applyBorder="1" applyAlignment="1">
      <alignment horizontal="center"/>
    </xf>
    <xf numFmtId="0" fontId="11" fillId="7" borderId="32" xfId="0" applyFont="1" applyFill="1" applyBorder="1" applyAlignment="1">
      <alignment horizontal="center"/>
    </xf>
    <xf numFmtId="0" fontId="11" fillId="7" borderId="53" xfId="0" applyFont="1" applyFill="1" applyBorder="1" applyAlignment="1">
      <alignment horizontal="center"/>
    </xf>
    <xf numFmtId="0" fontId="10" fillId="8" borderId="33" xfId="0" applyFont="1" applyFill="1" applyBorder="1" applyAlignment="1">
      <alignment horizontal="center" vertical="center"/>
    </xf>
    <xf numFmtId="0" fontId="10" fillId="8" borderId="34" xfId="0" applyFont="1" applyFill="1" applyBorder="1" applyAlignment="1">
      <alignment horizontal="center" vertical="center"/>
    </xf>
    <xf numFmtId="0" fontId="11" fillId="9" borderId="37" xfId="0" applyFont="1" applyFill="1" applyBorder="1" applyAlignment="1">
      <alignment horizontal="center"/>
    </xf>
    <xf numFmtId="0" fontId="11" fillId="9" borderId="38" xfId="0" applyFont="1" applyFill="1" applyBorder="1" applyAlignment="1">
      <alignment horizontal="center"/>
    </xf>
    <xf numFmtId="0" fontId="10" fillId="10" borderId="39" xfId="0" applyFont="1" applyFill="1" applyBorder="1" applyAlignment="1">
      <alignment horizontal="center" vertical="center"/>
    </xf>
    <xf numFmtId="0" fontId="10" fillId="10" borderId="40" xfId="0" applyFont="1" applyFill="1" applyBorder="1" applyAlignment="1">
      <alignment horizontal="center" vertical="center"/>
    </xf>
    <xf numFmtId="0" fontId="2" fillId="3" borderId="51" xfId="0" applyFont="1" applyFill="1" applyBorder="1" applyAlignment="1">
      <alignment horizontal="center" vertical="top"/>
    </xf>
    <xf numFmtId="0" fontId="2" fillId="3" borderId="49" xfId="0" applyFont="1" applyFill="1" applyBorder="1" applyAlignment="1">
      <alignment horizontal="center" vertical="top"/>
    </xf>
    <xf numFmtId="0" fontId="2" fillId="3" borderId="50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3" borderId="52" xfId="0" applyFont="1" applyFill="1" applyBorder="1" applyAlignment="1">
      <alignment horizontal="center" vertical="top"/>
    </xf>
    <xf numFmtId="0" fontId="10" fillId="6" borderId="25" xfId="0" applyFont="1" applyFill="1" applyBorder="1" applyAlignment="1">
      <alignment horizontal="center" vertical="center"/>
    </xf>
    <xf numFmtId="0" fontId="10" fillId="6" borderId="26" xfId="0" applyFont="1" applyFill="1" applyBorder="1" applyAlignment="1">
      <alignment horizontal="center" vertical="center"/>
    </xf>
    <xf numFmtId="0" fontId="11" fillId="5" borderId="27" xfId="0" applyFont="1" applyFill="1" applyBorder="1" applyAlignment="1">
      <alignment horizontal="center"/>
    </xf>
    <xf numFmtId="0" fontId="11" fillId="5" borderId="28" xfId="0" applyFont="1" applyFill="1" applyBorder="1" applyAlignment="1">
      <alignment horizontal="center"/>
    </xf>
    <xf numFmtId="0" fontId="18" fillId="12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top"/>
    </xf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12" fillId="3" borderId="1" xfId="0" applyFont="1" applyFill="1" applyBorder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21" fillId="3" borderId="9" xfId="0" applyFont="1" applyFill="1" applyBorder="1" applyAlignment="1">
      <alignment horizontal="center" vertical="center"/>
    </xf>
    <xf numFmtId="0" fontId="19" fillId="11" borderId="9" xfId="0" applyFont="1" applyFill="1" applyBorder="1" applyAlignment="1">
      <alignment horizontal="center" vertical="center"/>
    </xf>
    <xf numFmtId="0" fontId="21" fillId="3" borderId="55" xfId="0" applyFont="1" applyFill="1" applyBorder="1" applyAlignment="1">
      <alignment horizontal="center" vertical="center"/>
    </xf>
    <xf numFmtId="0" fontId="21" fillId="3" borderId="54" xfId="0" applyFont="1" applyFill="1" applyBorder="1" applyAlignment="1">
      <alignment horizontal="center" vertical="center"/>
    </xf>
    <xf numFmtId="0" fontId="21" fillId="3" borderId="5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164" fontId="3" fillId="2" borderId="15" xfId="0" applyNumberFormat="1" applyFont="1" applyFill="1" applyBorder="1" applyAlignment="1" applyProtection="1">
      <alignment horizontal="center" vertical="center"/>
      <protection locked="0"/>
    </xf>
    <xf numFmtId="164" fontId="3" fillId="2" borderId="16" xfId="0" applyNumberFormat="1" applyFont="1" applyFill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15" fillId="11" borderId="54" xfId="0" applyFont="1" applyFill="1" applyBorder="1" applyAlignment="1">
      <alignment horizontal="center" vertical="center"/>
    </xf>
    <xf numFmtId="0" fontId="16" fillId="12" borderId="55" xfId="0" applyFont="1" applyFill="1" applyBorder="1" applyAlignment="1">
      <alignment horizontal="center" vertical="center"/>
    </xf>
    <xf numFmtId="0" fontId="16" fillId="12" borderId="56" xfId="0" applyFont="1" applyFill="1" applyBorder="1" applyAlignment="1">
      <alignment horizontal="center" vertical="center"/>
    </xf>
  </cellXfs>
  <cellStyles count="1">
    <cellStyle name="Normal" xfId="0" builtinId="0"/>
  </cellStyles>
  <dxfs count="28">
    <dxf>
      <font>
        <b/>
        <i val="0"/>
        <color theme="6" tint="-0.499984740745262"/>
      </font>
      <fill>
        <patternFill>
          <bgColor rgb="FF92D050"/>
        </patternFill>
      </fill>
    </dxf>
    <dxf>
      <font>
        <color auto="1"/>
      </font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</font>
    </dxf>
    <dxf>
      <font>
        <b/>
        <i val="0"/>
        <color theme="1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1"/>
      </font>
      <fill>
        <patternFill>
          <bgColor theme="3" tint="0.59996337778862885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  <color theme="0"/>
      </font>
      <fill>
        <patternFill>
          <bgColor theme="7" tint="-0.2499465926084170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1"/>
      </font>
      <fill>
        <patternFill>
          <bgColor theme="0" tint="-0.34998626667073579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theme="3" tint="0.59996337778862885"/>
        </patternFill>
      </fill>
    </dxf>
    <dxf>
      <font>
        <b/>
        <i val="0"/>
      </font>
      <fill>
        <patternFill>
          <bgColor rgb="FFCCFF66"/>
        </patternFill>
      </fill>
    </dxf>
    <dxf>
      <font>
        <b/>
        <i val="0"/>
        <color theme="0"/>
      </font>
      <fill>
        <patternFill>
          <bgColor theme="7" tint="-0.24994659260841701"/>
        </patternFill>
      </fill>
    </dxf>
    <dxf>
      <font>
        <b val="0"/>
        <i val="0"/>
        <color theme="0"/>
      </font>
      <fill>
        <patternFill>
          <bgColor theme="1" tint="0.24994659260841701"/>
        </patternFill>
      </fill>
    </dxf>
  </dxfs>
  <tableStyles count="0" defaultTableStyle="TableStyleMedium2" defaultPivotStyle="PivotStyleMedium9"/>
  <colors>
    <mruColors>
      <color rgb="FFCCFF66"/>
      <color rgb="FFFFCCCC"/>
      <color rgb="FFFFFFBD"/>
      <color rgb="FFFFFF97"/>
      <color rgb="FF2A6BEE"/>
      <color rgb="FF8BF57D"/>
      <color rgb="FF0F0D24"/>
      <color rgb="FFB2DE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png"/><Relationship Id="rId18" Type="http://schemas.openxmlformats.org/officeDocument/2006/relationships/hyperlink" Target="../02-Injetoras" TargetMode="External"/><Relationship Id="rId26" Type="http://schemas.openxmlformats.org/officeDocument/2006/relationships/image" Target="../media/image10.png"/><Relationship Id="rId39" Type="http://schemas.openxmlformats.org/officeDocument/2006/relationships/hyperlink" Target="01-Cavidades%20n&#227;o%20conforme/02-Cavidade%20n&#227;o%20conforme/Esferogr&#225;ficas/Tampinhas/Tampinha%20Esf.%20-%2064%20Cav%20-%20Molde%20140/2025/02-23.06.25%20-%20Tampinha%20Esferogr&#225;fica%20-%20Molde%20140.xls" TargetMode="External"/><Relationship Id="rId21" Type="http://schemas.openxmlformats.org/officeDocument/2006/relationships/image" Target="../media/image8.png"/><Relationship Id="rId34" Type="http://schemas.openxmlformats.org/officeDocument/2006/relationships/hyperlink" Target="01-Cavidades%20n&#227;o%20conforme/02-Cavidade%20n&#227;o%20conforme/Marcadores/Corpos%20Marcadores/Corpo%20Marcador%20Destaq%20-%2016%20Cav%20-%20Molde%20164/2026/07%20-%2005.09.26%20-%20Corpo%20Marc.%20Destaq%20-%2016%20cav.%20-%20Molde%20164.xlsx" TargetMode="External"/><Relationship Id="rId42" Type="http://schemas.openxmlformats.org/officeDocument/2006/relationships/hyperlink" Target="../../09-INS~1/02-INJ~1/01-CAV~1/02-CAV~1/MARCAD~1/TAMPIN~1/TAMPIN~1.-16/2026/04-080~1.XLS" TargetMode="External"/><Relationship Id="rId47" Type="http://schemas.openxmlformats.org/officeDocument/2006/relationships/hyperlink" Target="01-Cavidades%20n&#227;o%20conforme/02-Cavidade%20n&#227;o%20conforme/Esferogr&#225;ficas/Corpos/Corpo%2007%20-%2064%20cav%20-%20Molde%20197/2026/05-%2007.07.26-%20Corpo%20Esf.%2007-Econ.%20-%20Molde%20197.xls" TargetMode="External"/><Relationship Id="rId50" Type="http://schemas.openxmlformats.org/officeDocument/2006/relationships/hyperlink" Target="../../09-INS~1/02-INJ~1/01-CAV~1/02-CAV~1/MARCAD~1/TAMPIN~1/TAMPIN~1/2026/01-060~1.XLS" TargetMode="External"/><Relationship Id="rId7" Type="http://schemas.openxmlformats.org/officeDocument/2006/relationships/hyperlink" Target="01-Cavidades%20n&#227;o%20conforme/03-Check-list%20de%20valida&#231;&#227;o%20de%20entradas%20de%20molde/2026/RQ%207.5.1-XX%20-%20Check-list%20de%20valida&#231;&#227;o%20de%20entradas%20de%20molde.xlsx" TargetMode="External"/><Relationship Id="rId2" Type="http://schemas.openxmlformats.org/officeDocument/2006/relationships/image" Target="../media/image1.png"/><Relationship Id="rId16" Type="http://schemas.openxmlformats.org/officeDocument/2006/relationships/image" Target="../media/image6.png"/><Relationship Id="rId29" Type="http://schemas.openxmlformats.org/officeDocument/2006/relationships/hyperlink" Target="01-Cavidades%20n&#227;o%20conforme/02-Cavidade%20n&#227;o%20conforme/Hidrogr&#225;ficas/Neo%20Pen/Tampa/Tampa%20Hidrog.%20Neo%20Pen%20-%2064%20Cav%20-%20Molde%20169/2026/08%20-%2001.09.26%20-%20Tampa%20Neo%20Pen%20-%2064%20cav.%20-%20Molde%20169.xls" TargetMode="External"/><Relationship Id="rId11" Type="http://schemas.openxmlformats.org/officeDocument/2006/relationships/image" Target="../media/image4.png"/><Relationship Id="rId24" Type="http://schemas.openxmlformats.org/officeDocument/2006/relationships/image" Target="../media/image9.png"/><Relationship Id="rId32" Type="http://schemas.openxmlformats.org/officeDocument/2006/relationships/hyperlink" Target="01-Cavidades%20n&#227;o%20conforme/02-Cavidade%20n&#227;o%20conforme/Esferogr&#225;ficas/Tampinhas/Tampinha%20Esf.%20-%2096%20Cav%20-%20Molde%20201/2026/06%20-%2012.08.26%20-%20Tampinha%20Esf.%20-%2096%20cav.%20-%20Molde%20201.xls" TargetMode="External"/><Relationship Id="rId37" Type="http://schemas.openxmlformats.org/officeDocument/2006/relationships/hyperlink" Target="01-Cavidades%20n&#227;o%20conforme/02-Cavidade%20n&#227;o%20conforme/Hidrogr&#225;ficas/Corpo/Corpo%20Hidrog.%20HNG%20-%2064%20Cav%20-%20Molde%20194/2026/07-18.04.26-Corpo%20Hid.%20Neo%20Pen%20Gigante-64%20cav.%20-Molde%20194.xls" TargetMode="External"/><Relationship Id="rId40" Type="http://schemas.openxmlformats.org/officeDocument/2006/relationships/hyperlink" Target="01-Cavidades%20n&#227;o%20conforme/02-Cavidade%20n&#227;o%20conforme/Marcadores/Corpos%20Marcadores/Corpo%20Marcador%20Q.B.%20-%2016%20Cav%20-%20Molde%20116A/2026/12%20-%2026.08.26%20-%20Corpo%20Marcador%20Q.B.%20-%2016%20cav.%20-%20Molde%20116A.xls" TargetMode="External"/><Relationship Id="rId45" Type="http://schemas.openxmlformats.org/officeDocument/2006/relationships/hyperlink" Target="01-Cavidades%20n&#227;o%20conforme/02-Cavidade%20n&#227;o%20conforme/Marcadores/Tampas%20Marcadores/Tampa%20Marcador%20Destaq%20-%2016%20Cav%20-%20Molde%20162/2026/08-09.09.26%20-%20Tampa%20Marc.%20Destaq%20-%2016%20cav.xlsx" TargetMode="External"/><Relationship Id="rId5" Type="http://schemas.openxmlformats.org/officeDocument/2006/relationships/image" Target="../media/image2.png"/><Relationship Id="rId15" Type="http://schemas.openxmlformats.org/officeDocument/2006/relationships/hyperlink" Target="05-Estudos" TargetMode="External"/><Relationship Id="rId23" Type="http://schemas.openxmlformats.org/officeDocument/2006/relationships/hyperlink" Target="#'Ficha T&#233;cnica'!A1"/><Relationship Id="rId28" Type="http://schemas.microsoft.com/office/2007/relationships/hdphoto" Target="../media/hdphoto7.wdp"/><Relationship Id="rId36" Type="http://schemas.openxmlformats.org/officeDocument/2006/relationships/hyperlink" Target="01-Cavidades%20n&#227;o%20conforme/02-Cavidade%20n&#227;o%20conforme/Esferogr&#225;ficas/Corpos/Corpo%20Top%20-%2064%20Cav%20-%20Molde%20190/2026/09%20-%2009.10.26%20-%20Corpo%20Esf.%20Top-Jet%20Lux%20-%20Molde%20190.xls" TargetMode="External"/><Relationship Id="rId49" Type="http://schemas.openxmlformats.org/officeDocument/2006/relationships/hyperlink" Target="01-Cavidades%20n&#227;o%20conforme/02-Cavidade%20n&#227;o%20conforme/Esferogr&#225;ficas/Conex&#227;o/Conex&#227;o%20Esf.%20-%2064%20Cav-Molde%20168/2026/01-%2021.07.26-Conex&#227;o%20Esf.%20-%2064%20cav.%20-%20Molde%20168.xls" TargetMode="External"/><Relationship Id="rId10" Type="http://schemas.openxmlformats.org/officeDocument/2006/relationships/hyperlink" Target="Medidas%20funcionais%20controladas%20no%20processo%20de%20inspe&#231;&#227;o%20-%20C.Q.%20-%20Insp..pdf" TargetMode="External"/><Relationship Id="rId19" Type="http://schemas.openxmlformats.org/officeDocument/2006/relationships/image" Target="../media/image7.png"/><Relationship Id="rId31" Type="http://schemas.openxmlformats.org/officeDocument/2006/relationships/hyperlink" Target="01-Cavidades%20n&#227;o%20conforme/02-Cavidade%20n&#227;o%20conforme/Esferogr&#225;ficas/Conex&#227;o/Conex&#227;o%20Esf.%20-%2096%20Cav-Molde%20200/2026/04%20-%2014-08-2026-Conex&#227;o%20Esf.%20-%2096%20cav.%20-%20Molde%20200.xlsx" TargetMode="External"/><Relationship Id="rId44" Type="http://schemas.openxmlformats.org/officeDocument/2006/relationships/hyperlink" Target="01-Cavidades%20n&#227;o%20conforme/02-Cavidade%20n&#227;o%20conforme/Esferogr&#225;ficas/Tampas/Tampa%20Esf.%20Top-%2064%20Cav%20-%20Molde%20139/2026/06%20-%2004.09.26%20-%20Tampa%20Esf.%20Top-Economic%20-%2064%20cav.%20-%20Molde%20139.xls" TargetMode="External"/><Relationship Id="rId52" Type="http://schemas.openxmlformats.org/officeDocument/2006/relationships/hyperlink" Target="../../09-INS~1/02-INJ~1/01-CAV~1/02-CAV~1/MARCAD~1/TAMPIN~1/TAMPIN~1/2026/07-010~1.XLS" TargetMode="External"/><Relationship Id="rId4" Type="http://schemas.openxmlformats.org/officeDocument/2006/relationships/hyperlink" Target="04-%20Acompanhamento%20de%20ocorr&#234;ncias%20observadas%20na%20inspe&#231;&#227;o%20injetoras/2026" TargetMode="External"/><Relationship Id="rId9" Type="http://schemas.microsoft.com/office/2007/relationships/hdphoto" Target="../media/hdphoto3.wdp"/><Relationship Id="rId14" Type="http://schemas.microsoft.com/office/2007/relationships/hdphoto" Target="../media/hdphoto4.wdp"/><Relationship Id="rId22" Type="http://schemas.microsoft.com/office/2007/relationships/hdphoto" Target="../media/hdphoto6.wdp"/><Relationship Id="rId27" Type="http://schemas.openxmlformats.org/officeDocument/2006/relationships/image" Target="../media/image11.png"/><Relationship Id="rId30" Type="http://schemas.openxmlformats.org/officeDocument/2006/relationships/hyperlink" Target="../../09-INS~1/02-INJ~1/01-CAV~1/02-CAV~1/MARCAD~1/CORPOS~1/CORPOM~4/2026/06-240~1.XLS" TargetMode="External"/><Relationship Id="rId35" Type="http://schemas.openxmlformats.org/officeDocument/2006/relationships/hyperlink" Target="01-Cavidades%20n&#227;o%20conforme/02-Cavidade%20n&#227;o%20conforme/Esferogr&#225;ficas/Tampas/Tampa%20Esf.%20Top-%2064%20Cav-%20Molde%20107/2026/10%20-%2001.08.26%20-%20Tampa%20Esf.%20Top-Economic%20-%2064%20cav.%20-%20Molde%20107.xls" TargetMode="External"/><Relationship Id="rId43" Type="http://schemas.openxmlformats.org/officeDocument/2006/relationships/hyperlink" Target="01-Cavidades%20n&#227;o%20conforme/02-Cavidade%20n&#227;o%20conforme/Colas/Tampas/Tampa%20para%20Cola%2040%20e%2090g%20-%20Molde%20145A/2026/06-28.05.26%20-Tampa%20c&#244;nica%20de%20cola%2040g%20e%2090g-16%20cav.-%20Molde%20145A.xlsx" TargetMode="External"/><Relationship Id="rId48" Type="http://schemas.openxmlformats.org/officeDocument/2006/relationships/hyperlink" Target="01-Cavidades%20n&#227;o%20conforme/02-Cavidade%20n&#227;o%20conforme/Colas/Bicos/Bico%20Frasco%20de%20Cola%20-%20Molde%2011A/2026/04%20-%2002.09.26%20-%20Bico%20para%20frasco%20de%20cola%2040g%20e%2090g%20-%2016%20cav.%20-%20Molde%2011A.xlsx" TargetMode="External"/><Relationship Id="rId8" Type="http://schemas.openxmlformats.org/officeDocument/2006/relationships/image" Target="../media/image3.png"/><Relationship Id="rId51" Type="http://schemas.openxmlformats.org/officeDocument/2006/relationships/image" Target="../media/image12.png"/><Relationship Id="rId3" Type="http://schemas.microsoft.com/office/2007/relationships/hdphoto" Target="../media/hdphoto1.wdp"/><Relationship Id="rId12" Type="http://schemas.openxmlformats.org/officeDocument/2006/relationships/hyperlink" Target="#'Desenhos T&#233;cnicos'!A1"/><Relationship Id="rId17" Type="http://schemas.microsoft.com/office/2007/relationships/hdphoto" Target="../media/hdphoto5.wdp"/><Relationship Id="rId25" Type="http://schemas.openxmlformats.org/officeDocument/2006/relationships/hyperlink" Target="#Kanban!A1"/><Relationship Id="rId33" Type="http://schemas.openxmlformats.org/officeDocument/2006/relationships/hyperlink" Target="01-Cavidades%20n&#227;o%20conforme/02-Cavidade%20n&#227;o%20conforme/Hidrogr&#225;ficas/Neo%20Pen/Tampinha/Tampinha%20Hidrog.%20Neo%20Pen%20-%2064%20Cav%20-%20Mol.101/2026/04-%2021.09.26%20-%20Tampinha%20Neo%20Pen%20-%20Molde%20101.xls" TargetMode="External"/><Relationship Id="rId38" Type="http://schemas.openxmlformats.org/officeDocument/2006/relationships/hyperlink" Target="01-Cavidades%20n&#227;o%20conforme/02-Cavidade%20n&#227;o%20conforme/Esferogr&#225;ficas/Tampas/Tampa%20Esf.%2007-%2064%20Cav%20-%20Molde%20181/2026/05-%2001.07.26-%20Tampa%20Esf.%2007%20-%2064%20cav.%20-%20Molde%20181.xls" TargetMode="External"/><Relationship Id="rId46" Type="http://schemas.openxmlformats.org/officeDocument/2006/relationships/hyperlink" Target="01-Cavidades%20n&#227;o%20conforme/02-Cavidade%20n&#227;o%20conforme/Esferogr&#225;ficas/Corpos/Corpo%2007-%2064%20Cav%20-%20Molde%20165/2026/05%20-%2001.09.26%20-%20Corpo%20Esf.%2007-Econ.%20-%20Molde%20165.xls" TargetMode="External"/><Relationship Id="rId20" Type="http://schemas.openxmlformats.org/officeDocument/2006/relationships/hyperlink" Target="file:///Y:\DOCUMENTOS%20SGI\INSTRU&#199;&#213;ES\IT%207.5.1-17%20Inspe&#231;&#227;o%20da%20Qualidade%20Setor%20Injetoras%20Rev%2010.pdf" TargetMode="External"/><Relationship Id="rId41" Type="http://schemas.openxmlformats.org/officeDocument/2006/relationships/hyperlink" Target="01-Cavidades%20n&#227;o%20conforme/02-Cavidade%20n&#227;o%20conforme/Marcadores/Tampas%20Marcadores/Tampa%20Marcador%20Q.B.-16%20Cav.-Molde%20189/2026/06-08.07.26-Tampa%20Marc.%20Q.B.-16%20cav.-Molde%20189.xlsx" TargetMode="External"/><Relationship Id="rId1" Type="http://schemas.openxmlformats.org/officeDocument/2006/relationships/hyperlink" Target="file:///S:\DESENHO%20TECNICO\A1%20-%20ESFEROGR&#193;FICAS\A1-00%20-%20COMPONENTES%20COMUNS%20AS%20ESF\5-TUBO\TUBO%2007-07B-TOP-JET-ECONOMIC\23.05.01%20-%208%20-%20TUBO%20ESF..pdf" TargetMode="External"/><Relationship Id="rId6" Type="http://schemas.microsoft.com/office/2007/relationships/hdphoto" Target="../media/hdphoto2.wdp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hyperlink" Target="05-Estudos" TargetMode="External"/><Relationship Id="rId18" Type="http://schemas.openxmlformats.org/officeDocument/2006/relationships/hyperlink" Target="file:///Y:\DOCUMENTOS%20SGI\INSTRU&#199;&#213;ES\IT%207.5.1-17%20Inspe&#231;&#227;o%20da%20Qualidade%20Setor%20Injetoras%20Rev%2009.pdf" TargetMode="External"/><Relationship Id="rId26" Type="http://schemas.openxmlformats.org/officeDocument/2006/relationships/hyperlink" Target="file:///S:\DESENHO%20TECNICO\ESFEROGR&#193;FICAS\A1-00%20-%20COMPONENTES%20COMUNS%20AS%20ESF" TargetMode="External"/><Relationship Id="rId39" Type="http://schemas.openxmlformats.org/officeDocument/2006/relationships/hyperlink" Target="file:///S:\DESENHO%20TECNICO\HIDROGR&#193;FICAS%20E%20MARCADORES" TargetMode="External"/><Relationship Id="rId21" Type="http://schemas.openxmlformats.org/officeDocument/2006/relationships/hyperlink" Target="#'Ficha T&#233;cnica'!A1"/><Relationship Id="rId34" Type="http://schemas.openxmlformats.org/officeDocument/2006/relationships/hyperlink" Target="file:///S:\DESENHO%20TECNICO\A1%20-%20ESFEROGR&#193;FICAS\A1-34%20-%20DUO-PLUS" TargetMode="External"/><Relationship Id="rId42" Type="http://schemas.openxmlformats.org/officeDocument/2006/relationships/hyperlink" Target="file:///S:\DESENHO%20TECNICO\REABASTECEDOR" TargetMode="External"/><Relationship Id="rId47" Type="http://schemas.openxmlformats.org/officeDocument/2006/relationships/hyperlink" Target="file:///S:\DESENHO%20TECNICO\HIDROGR&#193;FICAS%20E%20MARCADORES\A2-18%20-%20Microline" TargetMode="External"/><Relationship Id="rId50" Type="http://schemas.openxmlformats.org/officeDocument/2006/relationships/hyperlink" Target="file:///S:\DESENHO%20TECNICO\LAPISEIRAS\13.03.05%20-%20Bot&#227;o%20Lapi.%20T&#233;cnico.PDF" TargetMode="External"/><Relationship Id="rId55" Type="http://schemas.openxmlformats.org/officeDocument/2006/relationships/hyperlink" Target="file:///S:\DESENHO%20TECNICO\REABASTECEDOR\09.12.18%20-%20Tampa%20para%20Reabastecedor%20Q.B.%20(REV%200).PDF" TargetMode="External"/><Relationship Id="rId7" Type="http://schemas.openxmlformats.org/officeDocument/2006/relationships/image" Target="../media/image3.png"/><Relationship Id="rId2" Type="http://schemas.microsoft.com/office/2007/relationships/hdphoto" Target="../media/hdphoto1.wdp"/><Relationship Id="rId16" Type="http://schemas.openxmlformats.org/officeDocument/2006/relationships/hyperlink" Target="#'Mapa Injetoras'!A1"/><Relationship Id="rId29" Type="http://schemas.openxmlformats.org/officeDocument/2006/relationships/hyperlink" Target="file:///S:\DESENHO%20TECNICO\A1%20-%20ESFEROGR&#193;FICAS\A1-23%20-%20TOP%202000" TargetMode="External"/><Relationship Id="rId11" Type="http://schemas.openxmlformats.org/officeDocument/2006/relationships/image" Target="../media/image13.png"/><Relationship Id="rId24" Type="http://schemas.openxmlformats.org/officeDocument/2006/relationships/image" Target="../media/image14.png"/><Relationship Id="rId32" Type="http://schemas.openxmlformats.org/officeDocument/2006/relationships/hyperlink" Target="file:///S:\DESENHO%20TECNICO\A1%20-%20ESFEROGR&#193;FICAS\A1-35%20-%20TINTEIRO" TargetMode="External"/><Relationship Id="rId37" Type="http://schemas.openxmlformats.org/officeDocument/2006/relationships/hyperlink" Target="file:///S:\DESENHO%20TECNICO\A1%20-%20ESFEROGR&#193;FICAS\A1-40-ESF.201" TargetMode="External"/><Relationship Id="rId40" Type="http://schemas.openxmlformats.org/officeDocument/2006/relationships/hyperlink" Target="file:///S:\DESENHO%20TECNICO\LAPISEIRAS" TargetMode="External"/><Relationship Id="rId45" Type="http://schemas.openxmlformats.org/officeDocument/2006/relationships/hyperlink" Target="file:///S:\DESENHO%20TECNICO\HIDROGR&#193;FICAS%20E%20MARCADORES\A2-17%20-%20Destaq" TargetMode="External"/><Relationship Id="rId53" Type="http://schemas.openxmlformats.org/officeDocument/2006/relationships/hyperlink" Target="file:///S:\DESENHO%20TECNICO\COLA\Cola%20Polar%20500g%20em%202D%20-%20Frasco.PDF" TargetMode="External"/><Relationship Id="rId58" Type="http://schemas.openxmlformats.org/officeDocument/2006/relationships/hyperlink" Target="file:///S:\DESENHO%20TECNICO\REABASTECEDOR\17.04.01%2002%20-%20Frasco%20Reabastecedor%20de%2030%20ml%20%20NOVO%20MODELO%20(REV.%205).pdf" TargetMode="External"/><Relationship Id="rId5" Type="http://schemas.microsoft.com/office/2007/relationships/hdphoto" Target="../media/hdphoto2.wdp"/><Relationship Id="rId19" Type="http://schemas.openxmlformats.org/officeDocument/2006/relationships/image" Target="../media/image8.png"/><Relationship Id="rId4" Type="http://schemas.openxmlformats.org/officeDocument/2006/relationships/image" Target="../media/image2.png"/><Relationship Id="rId9" Type="http://schemas.openxmlformats.org/officeDocument/2006/relationships/hyperlink" Target="Medidas%20funcionais%20controladas%20no%20processo%20de%20inspe&#231;&#227;o%20-%20C.Q.%20-%20Insp..pdf" TargetMode="External"/><Relationship Id="rId14" Type="http://schemas.openxmlformats.org/officeDocument/2006/relationships/image" Target="../media/image6.png"/><Relationship Id="rId22" Type="http://schemas.openxmlformats.org/officeDocument/2006/relationships/image" Target="../media/image9.png"/><Relationship Id="rId27" Type="http://schemas.openxmlformats.org/officeDocument/2006/relationships/hyperlink" Target="file:///S:\DESENHO%20TECNICO\ESFEROGR&#193;FICAS\A1-01%20-%20ECONOMIC\23.05.01-15%20-MONT.%20ESF.%20COMPACTOR%20ECONOMIC.pdf" TargetMode="External"/><Relationship Id="rId30" Type="http://schemas.openxmlformats.org/officeDocument/2006/relationships/hyperlink" Target="file:///S:\DESENHO%20TECNICO\ESFEROGR&#193;FICAS\A1-02%20-%2007\23.05.01%20-%2012%20MONT.%20ESF.%2007%20COM%20C&#211;D..pdf" TargetMode="External"/><Relationship Id="rId35" Type="http://schemas.openxmlformats.org/officeDocument/2006/relationships/hyperlink" Target="file:///S:\DESENHO%20TECNICO\A1%20-%20ESFEROGR&#193;FICAS\A1-18%20-%20JET%20LUX" TargetMode="External"/><Relationship Id="rId43" Type="http://schemas.openxmlformats.org/officeDocument/2006/relationships/hyperlink" Target="file:///S:\DESENHO%20TECNICO\HIDROGR&#193;FICAS%20E%20MARCADORES\A2-01%20-%20Compactor%20Color" TargetMode="External"/><Relationship Id="rId48" Type="http://schemas.openxmlformats.org/officeDocument/2006/relationships/hyperlink" Target="file:///S:\DESENHO%20TECNICO\HIDROGR&#193;FICAS%20E%20MARCADORES\A2-24%20-%20Ponta" TargetMode="External"/><Relationship Id="rId56" Type="http://schemas.openxmlformats.org/officeDocument/2006/relationships/hyperlink" Target="file:///S:\DESENHO%20TECNICO\REABASTECEDOR\13.10.04%20-%20Tampa%20para%20Reabastecedor%20Pincel%20(REV%200).PDF" TargetMode="External"/><Relationship Id="rId8" Type="http://schemas.microsoft.com/office/2007/relationships/hdphoto" Target="../media/hdphoto3.wdp"/><Relationship Id="rId51" Type="http://schemas.openxmlformats.org/officeDocument/2006/relationships/hyperlink" Target="file:///S:\DESENHO%20TECNICO\COLA\03.10.05%20-%20Tampa%20Colas%2040g%20a%2090g(rev.%200).PDF" TargetMode="External"/><Relationship Id="rId3" Type="http://schemas.openxmlformats.org/officeDocument/2006/relationships/hyperlink" Target="04-%20Acompanhamento%20de%20ocorr&#234;ncias%20observadas%20na%20inspe&#231;&#227;o%20injetoras/2026/03%20-%20Mar&#231;o%20-%202026.xlsx" TargetMode="External"/><Relationship Id="rId12" Type="http://schemas.microsoft.com/office/2007/relationships/hdphoto" Target="../media/hdphoto4.wdp"/><Relationship Id="rId17" Type="http://schemas.openxmlformats.org/officeDocument/2006/relationships/image" Target="../media/image7.png"/><Relationship Id="rId25" Type="http://schemas.openxmlformats.org/officeDocument/2006/relationships/hyperlink" Target="file:///S:\DESENHO%20TECNICO\ESFEROGR&#193;FICAS" TargetMode="External"/><Relationship Id="rId33" Type="http://schemas.openxmlformats.org/officeDocument/2006/relationships/hyperlink" Target="file:///S:\DESENHO%20TECNICO\A1%20-%20ESFEROGR&#193;FICAS\A1-21%20-%20SMART" TargetMode="External"/><Relationship Id="rId38" Type="http://schemas.openxmlformats.org/officeDocument/2006/relationships/hyperlink" Target="file:///S:\DESENHO%20TECNICO\A1%20-%20ESFEROGR&#193;FICAS\A1-41-SENATOR" TargetMode="External"/><Relationship Id="rId46" Type="http://schemas.openxmlformats.org/officeDocument/2006/relationships/hyperlink" Target="file:///S:\DESENHO%20TECNICO\HIDROGR&#193;FICAS%20E%20MARCADORES\A2-10%20-%20Marc.%20QB%20e%20Pincel" TargetMode="External"/><Relationship Id="rId20" Type="http://schemas.microsoft.com/office/2007/relationships/hdphoto" Target="../media/hdphoto6.wdp"/><Relationship Id="rId41" Type="http://schemas.openxmlformats.org/officeDocument/2006/relationships/hyperlink" Target="file:///S:\DESENHO%20TECNICO\COLA" TargetMode="External"/><Relationship Id="rId54" Type="http://schemas.openxmlformats.org/officeDocument/2006/relationships/hyperlink" Target="file:///S:\DESENHO%20TECNICO\COLA\Frasco%201000g%20em%202D%20-%20Frasco.PDF" TargetMode="External"/><Relationship Id="rId1" Type="http://schemas.openxmlformats.org/officeDocument/2006/relationships/image" Target="../media/image1.png"/><Relationship Id="rId6" Type="http://schemas.openxmlformats.org/officeDocument/2006/relationships/hyperlink" Target="01-Cavidades%20n&#227;o%20conforme/03-Check-list%20de%20valida&#231;&#227;o%20de%20entradas%20de%20molde/2026/RQ%207.5.1-XX%20-%20Check-list%20de%20valida&#231;&#227;o%20de%20entradas%20de%20molde.xlsx" TargetMode="External"/><Relationship Id="rId15" Type="http://schemas.microsoft.com/office/2007/relationships/hdphoto" Target="../media/hdphoto5.wdp"/><Relationship Id="rId23" Type="http://schemas.openxmlformats.org/officeDocument/2006/relationships/hyperlink" Target="#Kanban!A1"/><Relationship Id="rId28" Type="http://schemas.openxmlformats.org/officeDocument/2006/relationships/hyperlink" Target="file:///S:\DESENHO%20TECNICO\A1%20-%20ESFEROGR&#193;FICAS\A1-03-%2007B%201,2" TargetMode="External"/><Relationship Id="rId36" Type="http://schemas.openxmlformats.org/officeDocument/2006/relationships/hyperlink" Target="file:///S:\DESENHO%20TECNICO\A1%20-%20ESFEROGR&#193;FICAS\A1-38%20-%2007%20VIP%20RETR&#193;TIL" TargetMode="External"/><Relationship Id="rId49" Type="http://schemas.openxmlformats.org/officeDocument/2006/relationships/hyperlink" Target="file:///S:\DESENHO%20TECNICO\HIDROGR&#193;FICAS%20E%20MARCADORES\A2-23%20-%20Pavio" TargetMode="External"/><Relationship Id="rId57" Type="http://schemas.openxmlformats.org/officeDocument/2006/relationships/hyperlink" Target="file:///S:\DESENHO%20TECNICO\REABASTECEDOR\23.10.01-1%20-%20Bico%20Reabastecedor%20(REV%2000)%20DES..PDF" TargetMode="External"/><Relationship Id="rId10" Type="http://schemas.openxmlformats.org/officeDocument/2006/relationships/image" Target="../media/image4.png"/><Relationship Id="rId31" Type="http://schemas.openxmlformats.org/officeDocument/2006/relationships/hyperlink" Target="file:///S:\DESENHO%20TECNICO\A1%20-%20ESFEROGR&#193;FICAS\A1-05%20-%20ECONOMIC%20FINA" TargetMode="External"/><Relationship Id="rId44" Type="http://schemas.openxmlformats.org/officeDocument/2006/relationships/hyperlink" Target="file:///S:\DESENHO%20TECNICO\HIDROGR&#193;FICAS%20E%20MARCADORES\A2-04%20-%20Neo-Pen" TargetMode="External"/><Relationship Id="rId52" Type="http://schemas.openxmlformats.org/officeDocument/2006/relationships/hyperlink" Target="file:///S:\DESENHO%20TECNICO\COLA\04.11.05%20-%20Bico%20para%20frasco%20de%20cola%2040g%20e%2090g%20(REV.3).PDF" TargetMode="External"/></Relationships>
</file>

<file path=xl/drawings/_rels/drawing3.xml.rels><?xml version="1.0" encoding="UTF-8" standalone="yes"?>
<Relationships xmlns="http://schemas.openxmlformats.org/package/2006/relationships"><Relationship Id="rId13" Type="http://schemas.microsoft.com/office/2007/relationships/hdphoto" Target="../media/hdphoto4.wdp"/><Relationship Id="rId18" Type="http://schemas.openxmlformats.org/officeDocument/2006/relationships/image" Target="../media/image7.png"/><Relationship Id="rId26" Type="http://schemas.openxmlformats.org/officeDocument/2006/relationships/hyperlink" Target="../../08-Descri&#231;&#245;es%20e%20Especifica&#231;&#245;es%20T&#233;cnicas%20-%20Fornecedores/FICHA%20T&#201;CNICA%20-POLIMEROS%20E%20OUTROS/11272%20-%20Santoprene%20231%20201-87.pdf" TargetMode="External"/><Relationship Id="rId39" Type="http://schemas.openxmlformats.org/officeDocument/2006/relationships/hyperlink" Target="../../08-Descri&#231;&#245;es%20e%20Especifica&#231;&#245;es%20T&#233;cnicas%20-%20Fornecedores/FICHA%20T&#201;CNICA%20-POLIMEROS%20E%20OUTROS/ABS%20Natural%20-%20MG47F.pdf" TargetMode="External"/><Relationship Id="rId21" Type="http://schemas.microsoft.com/office/2007/relationships/hdphoto" Target="../media/hdphoto6.wdp"/><Relationship Id="rId34" Type="http://schemas.openxmlformats.org/officeDocument/2006/relationships/hyperlink" Target="../../08-Descri&#231;&#245;es%20e%20Especifica&#231;&#245;es%20T&#233;cnicas%20-%20Fornecedores/FICHA%20T&#201;CNICA%20-POLIMEROS%20E%20OUTROS/10049%20-%20PP%20DP105A.pdf" TargetMode="External"/><Relationship Id="rId42" Type="http://schemas.openxmlformats.org/officeDocument/2006/relationships/hyperlink" Target="../../08-Descri&#231;&#245;es%20e%20Especifica&#231;&#245;es%20T&#233;cnicas%20-%20Fornecedores/FICHA%20T&#201;CNICA%20-POLIMEROS%20E%20OUTROS/10047%20-%20PEAD%20HA7260.pdf" TargetMode="External"/><Relationship Id="rId7" Type="http://schemas.openxmlformats.org/officeDocument/2006/relationships/image" Target="../media/image3.png"/><Relationship Id="rId2" Type="http://schemas.microsoft.com/office/2007/relationships/hdphoto" Target="../media/hdphoto1.wdp"/><Relationship Id="rId16" Type="http://schemas.microsoft.com/office/2007/relationships/hdphoto" Target="../media/hdphoto5.wdp"/><Relationship Id="rId29" Type="http://schemas.openxmlformats.org/officeDocument/2006/relationships/hyperlink" Target="../../08-Descri&#231;&#245;es%20e%20Especifica&#231;&#245;es%20T&#233;cnicas%20-%20Fornecedores/FICHA%20T&#201;CNICA%20-POLIMEROS%20E%20OUTROS/10545%20-%20PS%20N2560.pdf" TargetMode="External"/><Relationship Id="rId1" Type="http://schemas.openxmlformats.org/officeDocument/2006/relationships/image" Target="../media/image1.png"/><Relationship Id="rId6" Type="http://schemas.openxmlformats.org/officeDocument/2006/relationships/hyperlink" Target="01-Cavidades%20n&#227;o%20conforme/03-Check-list%20de%20valida&#231;&#227;o%20de%20entradas%20de%20molde/2026/RQ%207.5.1-XX%20-%20Check-list%20de%20valida&#231;&#227;o%20de%20entradas%20de%20molde.xlsx" TargetMode="External"/><Relationship Id="rId11" Type="http://schemas.openxmlformats.org/officeDocument/2006/relationships/hyperlink" Target="#'Desenhos T&#233;cnicos'!A1"/><Relationship Id="rId24" Type="http://schemas.openxmlformats.org/officeDocument/2006/relationships/image" Target="../media/image14.png"/><Relationship Id="rId32" Type="http://schemas.openxmlformats.org/officeDocument/2006/relationships/hyperlink" Target="../../08-Descri&#231;&#245;es%20e%20Especifica&#231;&#245;es%20T&#233;cnicas%20-%20Fornecedores/FICHA%20T&#201;CNICA%20-POLIMEROS%20E%20OUTROS/10596%20-%20Terlux%202802-%20Styrolution.pdf" TargetMode="External"/><Relationship Id="rId37" Type="http://schemas.openxmlformats.org/officeDocument/2006/relationships/hyperlink" Target="../../08-Descri&#231;&#245;es%20e%20Especifica&#231;&#245;es%20T&#233;cnicas%20-%20Fornecedores/FICHA%20T&#201;CNICA%20-POLIMEROS%20E%20OUTROS/12039%20-%20PP%20FT120WV.pdf" TargetMode="External"/><Relationship Id="rId40" Type="http://schemas.openxmlformats.org/officeDocument/2006/relationships/hyperlink" Target="../../08-Descri&#231;&#245;es%20e%20Especifica&#231;&#245;es%20T&#233;cnicas%20-%20Fornecedores/FICHA%20T&#201;CNICA%20-POLIMEROS%20E%20OUTROS/10046%20-%20PEBD%20BC818.pdf" TargetMode="External"/><Relationship Id="rId45" Type="http://schemas.openxmlformats.org/officeDocument/2006/relationships/hyperlink" Target="../../08-Descri&#231;&#245;es%20e%20Especifica&#231;&#245;es%20T&#233;cnicas%20-%20Fornecedores/FICHA%20T&#201;CNICA%20-POLIMEROS%20E%20OUTROS/PEAD%20HC7260LSL.pdf" TargetMode="External"/><Relationship Id="rId5" Type="http://schemas.microsoft.com/office/2007/relationships/hdphoto" Target="../media/hdphoto2.wdp"/><Relationship Id="rId15" Type="http://schemas.openxmlformats.org/officeDocument/2006/relationships/image" Target="../media/image6.png"/><Relationship Id="rId23" Type="http://schemas.openxmlformats.org/officeDocument/2006/relationships/hyperlink" Target="#Kanban!A1"/><Relationship Id="rId28" Type="http://schemas.openxmlformats.org/officeDocument/2006/relationships/hyperlink" Target="../../08-Descri&#231;&#245;es%20e%20Especifica&#231;&#245;es%20T&#233;cnicas%20-%20Fornecedores/FICHA%20T&#201;CNICA%20-POLIMEROS%20E%20OUTROS/10545%20-%20PS%20535.pdf" TargetMode="External"/><Relationship Id="rId36" Type="http://schemas.openxmlformats.org/officeDocument/2006/relationships/hyperlink" Target="../../08-Descri&#231;&#245;es%20e%20Especifica&#231;&#245;es%20T&#233;cnicas%20-%20Fornecedores/FICHA%20T&#201;CNICA%20-POLIMEROS%20E%20OUTROS/10049%20-%20PP%20PT400NAQ.pdf" TargetMode="External"/><Relationship Id="rId10" Type="http://schemas.openxmlformats.org/officeDocument/2006/relationships/image" Target="../media/image4.png"/><Relationship Id="rId19" Type="http://schemas.openxmlformats.org/officeDocument/2006/relationships/hyperlink" Target="file:///Y:\DOCUMENTOS%20SGI\INSTRU&#199;&#213;ES\IT%207.5.1-17%20Inspe&#231;&#227;o%20da%20Qualidade%20Setor%20Injetoras%20Rev%2009.pdf" TargetMode="External"/><Relationship Id="rId31" Type="http://schemas.openxmlformats.org/officeDocument/2006/relationships/hyperlink" Target="../../08-Descri&#231;&#245;es%20e%20Especifica&#231;&#245;es%20T&#233;cnicas%20-%20Fornecedores/FICHA%20T&#201;CNICA%20-POLIMEROS%20E%20OUTROS/10040%20-%20ABS%20Natural%20GP22%20-%20Styrolution%202022.pdf" TargetMode="External"/><Relationship Id="rId44" Type="http://schemas.openxmlformats.org/officeDocument/2006/relationships/hyperlink" Target="../../08-Descri&#231;&#245;es%20e%20Especifica&#231;&#245;es%20T&#233;cnicas%20-%20Fornecedores/FICHA%20T&#201;CNICA%20-POLIMEROS%20E%20OUTROS/PEAD%20GE7252NS.pdf" TargetMode="External"/><Relationship Id="rId4" Type="http://schemas.openxmlformats.org/officeDocument/2006/relationships/image" Target="../media/image2.png"/><Relationship Id="rId9" Type="http://schemas.openxmlformats.org/officeDocument/2006/relationships/hyperlink" Target="Medidas%20funcionais%20controladas%20no%20processo%20de%20inspe&#231;&#227;o%20-%20C.Q.%20-%20Insp..pdf" TargetMode="External"/><Relationship Id="rId14" Type="http://schemas.openxmlformats.org/officeDocument/2006/relationships/hyperlink" Target="05-Estudos" TargetMode="External"/><Relationship Id="rId22" Type="http://schemas.openxmlformats.org/officeDocument/2006/relationships/image" Target="../media/image9.png"/><Relationship Id="rId27" Type="http://schemas.openxmlformats.org/officeDocument/2006/relationships/hyperlink" Target="../../08-Descri&#231;&#245;es%20e%20Especifica&#231;&#245;es%20T&#233;cnicas%20-%20Fornecedores/FICHA%20T&#201;CNICA%20-POLIMEROS%20E%20OUTROS/10051%20-%20PSAI%20U8878.pdf" TargetMode="External"/><Relationship Id="rId30" Type="http://schemas.openxmlformats.org/officeDocument/2006/relationships/hyperlink" Target="../../08-Descri&#231;&#245;es%20e%20Especifica&#231;&#245;es%20T&#233;cnicas%20-%20Fornecedores/FICHA%20T&#201;CNICA%20-POLIMEROS%20E%20OUTROS/10545%20-%20PS%20U288.pdf" TargetMode="External"/><Relationship Id="rId35" Type="http://schemas.openxmlformats.org/officeDocument/2006/relationships/hyperlink" Target="../../08-Descri&#231;&#245;es%20e%20Especifica&#231;&#245;es%20T&#233;cnicas%20-%20Fornecedores/FICHA%20T&#201;CNICA%20-POLIMEROS%20E%20OUTROS/10049%20-%20PP%20H105.pdf" TargetMode="External"/><Relationship Id="rId43" Type="http://schemas.openxmlformats.org/officeDocument/2006/relationships/hyperlink" Target="../../08-Descri&#231;&#245;es%20e%20Especifica&#231;&#245;es%20T&#233;cnicas%20-%20Fornecedores/FICHA%20T&#201;CNICA%20-POLIMEROS%20E%20OUTROS/10671%20-%20PEAD%20HS5502.pdf" TargetMode="External"/><Relationship Id="rId8" Type="http://schemas.microsoft.com/office/2007/relationships/hdphoto" Target="../media/hdphoto3.wdp"/><Relationship Id="rId3" Type="http://schemas.openxmlformats.org/officeDocument/2006/relationships/hyperlink" Target="04-%20Acompanhamento%20de%20ocorr&#234;ncias%20observadas%20na%20inspe&#231;&#227;o%20injetoras/2026/03%20-%20Mar&#231;o%20-%202026.xlsx" TargetMode="External"/><Relationship Id="rId12" Type="http://schemas.openxmlformats.org/officeDocument/2006/relationships/image" Target="../media/image13.png"/><Relationship Id="rId17" Type="http://schemas.openxmlformats.org/officeDocument/2006/relationships/hyperlink" Target="#'Mapa Injetoras'!A1"/><Relationship Id="rId25" Type="http://schemas.openxmlformats.org/officeDocument/2006/relationships/hyperlink" Target="../../08-Descri&#231;&#245;es%20e%20Especifica&#231;&#245;es%20T&#233;cnicas%20-%20Fornecedores/FICHA%20T&#201;CNICA%20-POLIMEROS%20E%20OUTROS/10051%20-%20PSAI%20RT441M%20-%20Segunda%20op&#231;&#227;o.pdf" TargetMode="External"/><Relationship Id="rId33" Type="http://schemas.openxmlformats.org/officeDocument/2006/relationships/hyperlink" Target="../../08-Descri&#231;&#245;es%20e%20Especifica&#231;&#245;es%20T&#233;cnicas%20-%20Fornecedores/FICHA%20T&#201;CNICA%20-POLIMEROS%20E%20OUTROS/10048%20-%20PP%20H603.pdf" TargetMode="External"/><Relationship Id="rId38" Type="http://schemas.openxmlformats.org/officeDocument/2006/relationships/hyperlink" Target="../../08-Descri&#231;&#245;es%20e%20Especifica&#231;&#245;es%20T&#233;cnicas%20-%20Fornecedores/FICHA%20T&#201;CNICA%20-POLIMEROS%20E%20OUTROS/11360%20-%20Policarbonato%20Makrolon%202456.pdf" TargetMode="External"/><Relationship Id="rId46" Type="http://schemas.openxmlformats.org/officeDocument/2006/relationships/hyperlink" Target="../../08-Descri&#231;&#245;es%20e%20Especifica&#231;&#245;es%20T&#233;cnicas%20-%20Fornecedores/FICHA%20T&#201;CNICA%20-POLIMEROS%20E%20OUTROS/PEAD%20IB58.pdf" TargetMode="External"/><Relationship Id="rId20" Type="http://schemas.openxmlformats.org/officeDocument/2006/relationships/image" Target="../media/image8.png"/><Relationship Id="rId41" Type="http://schemas.openxmlformats.org/officeDocument/2006/relationships/hyperlink" Target="../../08-Descri&#231;&#245;es%20e%20Especifica&#231;&#245;es%20T&#233;cnicas%20-%20Fornecedores/FICHA%20T&#201;CNICA%20-POLIMEROS%20E%20OUTROS/10670%20-%20PEBD%20LD5000A.pdf" TargetMode="External"/></Relationships>
</file>

<file path=xl/drawings/_rels/drawing4.xml.rels><?xml version="1.0" encoding="UTF-8" standalone="yes"?>
<Relationships xmlns="http://schemas.openxmlformats.org/package/2006/relationships"><Relationship Id="rId8" Type="http://schemas.microsoft.com/office/2007/relationships/hdphoto" Target="../media/hdphoto3.wdp"/><Relationship Id="rId13" Type="http://schemas.microsoft.com/office/2007/relationships/hdphoto" Target="../media/hdphoto4.wdp"/><Relationship Id="rId18" Type="http://schemas.openxmlformats.org/officeDocument/2006/relationships/image" Target="../media/image7.png"/><Relationship Id="rId3" Type="http://schemas.openxmlformats.org/officeDocument/2006/relationships/hyperlink" Target="04-%20Acompanhamento%20de%20ocorr&#234;ncias%20observadas%20na%20inspe&#231;&#227;o%20injetoras" TargetMode="External"/><Relationship Id="rId21" Type="http://schemas.microsoft.com/office/2007/relationships/hdphoto" Target="../media/hdphoto6.wdp"/><Relationship Id="rId7" Type="http://schemas.openxmlformats.org/officeDocument/2006/relationships/image" Target="../media/image3.png"/><Relationship Id="rId12" Type="http://schemas.openxmlformats.org/officeDocument/2006/relationships/image" Target="../media/image5.png"/><Relationship Id="rId17" Type="http://schemas.openxmlformats.org/officeDocument/2006/relationships/hyperlink" Target="#'Mapa Injetoras'!A1"/><Relationship Id="rId2" Type="http://schemas.microsoft.com/office/2007/relationships/hdphoto" Target="../media/hdphoto1.wdp"/><Relationship Id="rId16" Type="http://schemas.microsoft.com/office/2007/relationships/hdphoto" Target="../media/hdphoto5.wdp"/><Relationship Id="rId20" Type="http://schemas.openxmlformats.org/officeDocument/2006/relationships/image" Target="../media/image8.png"/><Relationship Id="rId1" Type="http://schemas.openxmlformats.org/officeDocument/2006/relationships/image" Target="../media/image1.png"/><Relationship Id="rId6" Type="http://schemas.openxmlformats.org/officeDocument/2006/relationships/hyperlink" Target="01-Cavidades%20n&#227;o%20conforme/03-Check-list%20de%20valida&#231;&#227;o%20de%20entradas%20de%20molde/2026/RQ%207.5.1-%20XX%20-%202026%20-%20Check-list%20de%20valida&#231;&#227;o%20de%20entradas%20de%20molde.xlsx" TargetMode="External"/><Relationship Id="rId11" Type="http://schemas.openxmlformats.org/officeDocument/2006/relationships/hyperlink" Target="#'Desenhos T&#233;cnicos'!A1"/><Relationship Id="rId24" Type="http://schemas.openxmlformats.org/officeDocument/2006/relationships/image" Target="../media/image9.png"/><Relationship Id="rId5" Type="http://schemas.microsoft.com/office/2007/relationships/hdphoto" Target="../media/hdphoto2.wdp"/><Relationship Id="rId15" Type="http://schemas.openxmlformats.org/officeDocument/2006/relationships/image" Target="../media/image6.png"/><Relationship Id="rId23" Type="http://schemas.openxmlformats.org/officeDocument/2006/relationships/hyperlink" Target="#'Ficha T&#233;cnica'!A1"/><Relationship Id="rId10" Type="http://schemas.openxmlformats.org/officeDocument/2006/relationships/image" Target="../media/image4.png"/><Relationship Id="rId19" Type="http://schemas.openxmlformats.org/officeDocument/2006/relationships/hyperlink" Target="file:///Y:\DOCUMENTOS%20SGI\INSTRU&#199;&#213;ES\IT%207.5.1-17%20Inspe&#231;&#227;o%20da%20Qualidade%20Setor%20Injetoras%20Rev%2009.pdf" TargetMode="External"/><Relationship Id="rId4" Type="http://schemas.openxmlformats.org/officeDocument/2006/relationships/image" Target="../media/image2.png"/><Relationship Id="rId9" Type="http://schemas.openxmlformats.org/officeDocument/2006/relationships/hyperlink" Target="Medidas%20funcionais%20controladas%20no%20processo%20de%20inspe&#231;&#227;o%20-%20C.Q.%20-%20Insp..pdf" TargetMode="External"/><Relationship Id="rId14" Type="http://schemas.openxmlformats.org/officeDocument/2006/relationships/hyperlink" Target="05-Estudos" TargetMode="External"/><Relationship Id="rId22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07/relationships/hdphoto" Target="../media/hdphoto6.wdp"/><Relationship Id="rId7" Type="http://schemas.openxmlformats.org/officeDocument/2006/relationships/image" Target="../media/image7.png"/><Relationship Id="rId2" Type="http://schemas.openxmlformats.org/officeDocument/2006/relationships/image" Target="../media/image8.png"/><Relationship Id="rId1" Type="http://schemas.openxmlformats.org/officeDocument/2006/relationships/hyperlink" Target="file:///Y:\DOCUMENTOS%20SGI\INSTRU&#199;&#213;ES\IT%207.5.1-17%20Inspe&#231;&#227;o%20da%20Qualidade%20Setor%20Injetoras%20Rev%2009.pdf" TargetMode="External"/><Relationship Id="rId6" Type="http://schemas.openxmlformats.org/officeDocument/2006/relationships/hyperlink" Target="#'Mapa Injetoras'!A1"/><Relationship Id="rId5" Type="http://schemas.microsoft.com/office/2007/relationships/hdphoto" Target="../media/hdphoto1.wdp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15</xdr:col>
      <xdr:colOff>437442</xdr:colOff>
      <xdr:row>1</xdr:row>
      <xdr:rowOff>100011</xdr:rowOff>
    </xdr:from>
    <xdr:to>
      <xdr:col>16</xdr:col>
      <xdr:colOff>54758</xdr:colOff>
      <xdr:row>16</xdr:row>
      <xdr:rowOff>223820</xdr:rowOff>
    </xdr:to>
    <xdr:sp macro="" textlink="">
      <xdr:nvSpPr>
        <xdr:cNvPr id="29" name="Retângulo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SpPr/>
      </xdr:nvSpPr>
      <xdr:spPr>
        <a:xfrm rot="16200000">
          <a:off x="17173332" y="2847076"/>
          <a:ext cx="4436036" cy="1193270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baseline="0">
              <a:solidFill>
                <a:sysClr val="windowText" lastClr="000000"/>
              </a:solidFill>
            </a:rPr>
            <a:t>PERFIL POLIMER  41</a:t>
          </a:r>
        </a:p>
        <a:p>
          <a:pPr algn="ctr"/>
          <a:r>
            <a:rPr lang="pt-BR" sz="1600" baseline="0">
              <a:solidFill>
                <a:sysClr val="windowText" lastClr="000000"/>
              </a:solidFill>
            </a:rPr>
            <a:t>MOLDE TUBO</a:t>
          </a:r>
        </a:p>
        <a:p>
          <a:pPr algn="ctr"/>
          <a:r>
            <a:rPr lang="pt-BR" sz="1600">
              <a:solidFill>
                <a:sysClr val="windowText" lastClr="000000"/>
              </a:solidFill>
            </a:rPr>
            <a:t>TUBO</a:t>
          </a:r>
        </a:p>
      </xdr:txBody>
    </xdr:sp>
    <xdr:clientData/>
  </xdr:twoCellAnchor>
  <xdr:twoCellAnchor editAs="absolute">
    <xdr:from>
      <xdr:col>16</xdr:col>
      <xdr:colOff>444796</xdr:colOff>
      <xdr:row>1</xdr:row>
      <xdr:rowOff>90486</xdr:rowOff>
    </xdr:from>
    <xdr:to>
      <xdr:col>17</xdr:col>
      <xdr:colOff>46766</xdr:colOff>
      <xdr:row>16</xdr:row>
      <xdr:rowOff>214295</xdr:rowOff>
    </xdr:to>
    <xdr:sp macro="" textlink="">
      <xdr:nvSpPr>
        <xdr:cNvPr id="30" name="Retângulo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SpPr/>
      </xdr:nvSpPr>
      <xdr:spPr>
        <a:xfrm rot="16200000">
          <a:off x="18748968" y="2845223"/>
          <a:ext cx="4436036" cy="1177925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baseline="0">
              <a:solidFill>
                <a:sysClr val="windowText" lastClr="000000"/>
              </a:solidFill>
            </a:rPr>
            <a:t>PERFIL POLIMER  47</a:t>
          </a:r>
        </a:p>
        <a:p>
          <a:pPr algn="ctr"/>
          <a:r>
            <a:rPr lang="pt-BR" sz="1600" baseline="0">
              <a:solidFill>
                <a:sysClr val="windowText" lastClr="000000"/>
              </a:solidFill>
            </a:rPr>
            <a:t>MOLDE TUBO</a:t>
          </a:r>
        </a:p>
        <a:p>
          <a:pPr algn="ctr"/>
          <a:r>
            <a:rPr lang="pt-BR" sz="1600">
              <a:solidFill>
                <a:sysClr val="windowText" lastClr="000000"/>
              </a:solidFill>
            </a:rPr>
            <a:t>TUBO</a:t>
          </a:r>
        </a:p>
      </xdr:txBody>
    </xdr:sp>
    <xdr:clientData/>
  </xdr:twoCellAnchor>
  <xdr:twoCellAnchor>
    <xdr:from>
      <xdr:col>0</xdr:col>
      <xdr:colOff>16118</xdr:colOff>
      <xdr:row>0</xdr:row>
      <xdr:rowOff>3718</xdr:rowOff>
    </xdr:from>
    <xdr:to>
      <xdr:col>1</xdr:col>
      <xdr:colOff>2388577</xdr:colOff>
      <xdr:row>0</xdr:row>
      <xdr:rowOff>1108917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SpPr/>
      </xdr:nvSpPr>
      <xdr:spPr>
        <a:xfrm>
          <a:off x="16118" y="3718"/>
          <a:ext cx="2988783" cy="1105199"/>
        </a:xfrm>
        <a:prstGeom prst="rect">
          <a:avLst/>
        </a:prstGeom>
        <a:gradFill flip="none" rotWithShape="1">
          <a:gsLst>
            <a:gs pos="83000">
              <a:schemeClr val="tx2">
                <a:lumMod val="75000"/>
              </a:schemeClr>
            </a:gs>
            <a:gs pos="37000">
              <a:srgbClr val="0F0D24">
                <a:lumMod val="90000"/>
              </a:srgbClr>
            </a:gs>
          </a:gsLst>
          <a:path path="circle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155502</xdr:colOff>
      <xdr:row>0</xdr:row>
      <xdr:rowOff>260850</xdr:rowOff>
    </xdr:from>
    <xdr:to>
      <xdr:col>1</xdr:col>
      <xdr:colOff>2176543</xdr:colOff>
      <xdr:row>0</xdr:row>
      <xdr:rowOff>855342</xdr:rowOff>
    </xdr:to>
    <xdr:pic>
      <xdr:nvPicPr>
        <xdr:cNvPr id="34" name="Picture 2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grayscl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25971" b="71845" l="2865" r="99727"/>
                  </a14:imgEffect>
                  <a14:imgEffect>
                    <a14:brightnessContrast contrast="40000"/>
                  </a14:imgEffect>
                </a14:imgLayer>
              </a14:imgProps>
            </a:ext>
          </a:extLst>
        </a:blip>
        <a:srcRect l="2604" t="25135" r="1215" b="36293"/>
        <a:stretch/>
      </xdr:blipFill>
      <xdr:spPr bwMode="auto">
        <a:xfrm>
          <a:off x="155502" y="260850"/>
          <a:ext cx="2637365" cy="59449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0</xdr:col>
      <xdr:colOff>232233</xdr:colOff>
      <xdr:row>6</xdr:row>
      <xdr:rowOff>81733</xdr:rowOff>
    </xdr:from>
    <xdr:to>
      <xdr:col>2</xdr:col>
      <xdr:colOff>112056</xdr:colOff>
      <xdr:row>8</xdr:row>
      <xdr:rowOff>216033</xdr:rowOff>
    </xdr:to>
    <xdr:grpSp>
      <xdr:nvGrpSpPr>
        <xdr:cNvPr id="95" name="Grupo 9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000-00005F000000}"/>
            </a:ext>
          </a:extLst>
        </xdr:cNvPr>
        <xdr:cNvGrpSpPr>
          <a:grpSpLocks noChangeAspect="1"/>
        </xdr:cNvGrpSpPr>
      </xdr:nvGrpSpPr>
      <xdr:grpSpPr>
        <a:xfrm>
          <a:off x="232233" y="2506278"/>
          <a:ext cx="2893187" cy="792391"/>
          <a:chOff x="198049" y="2463157"/>
          <a:chExt cx="2987590" cy="777688"/>
        </a:xfrm>
      </xdr:grpSpPr>
      <xdr:pic>
        <xdr:nvPicPr>
          <xdr:cNvPr id="59" name="Imagem 58">
            <a:extLst>
              <a:ext uri="{FF2B5EF4-FFF2-40B4-BE49-F238E27FC236}">
                <a16:creationId xmlns:a16="http://schemas.microsoft.com/office/drawing/2014/main" xmlns="" id="{00000000-0008-0000-0000-00003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BEBA8EAE-BF5A-486C-A8C5-ECC9F3942E4B}">
                <a14:imgProps xmlns:a14="http://schemas.microsoft.com/office/drawing/2010/main">
                  <a14:imgLayer r:embed="rId6">
                    <a14:imgEffect>
                      <a14:brightnessContrast bright="-3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8049" y="2540688"/>
            <a:ext cx="607471" cy="596348"/>
          </a:xfrm>
          <a:prstGeom prst="rect">
            <a:avLst/>
          </a:prstGeom>
        </xdr:spPr>
      </xdr:pic>
      <xdr:sp macro="" textlink="">
        <xdr:nvSpPr>
          <xdr:cNvPr id="60" name="CaixaDeTexto 59">
            <a:extLst>
              <a:ext uri="{FF2B5EF4-FFF2-40B4-BE49-F238E27FC236}">
                <a16:creationId xmlns:a16="http://schemas.microsoft.com/office/drawing/2014/main" xmlns="" id="{00000000-0008-0000-0000-00003C000000}"/>
              </a:ext>
            </a:extLst>
          </xdr:cNvPr>
          <xdr:cNvSpPr txBox="1"/>
        </xdr:nvSpPr>
        <xdr:spPr>
          <a:xfrm>
            <a:off x="715513" y="2463157"/>
            <a:ext cx="2470126" cy="77768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chemeClr val="bg1">
                    <a:lumMod val="85000"/>
                  </a:schemeClr>
                </a:solidFill>
                <a:effectLst/>
                <a:latin typeface="Century Gothic" pitchFamily="34" charset="0"/>
                <a:ea typeface="+mn-ea"/>
                <a:cs typeface="+mn-cs"/>
              </a:rPr>
              <a:t>Acompanhamento</a:t>
            </a:r>
            <a:r>
              <a:rPr lang="pt-BR" sz="1800" b="1" baseline="0">
                <a:solidFill>
                  <a:schemeClr val="bg1">
                    <a:lumMod val="85000"/>
                  </a:schemeClr>
                </a:solidFill>
                <a:effectLst/>
                <a:latin typeface="Century Gothic" pitchFamily="34" charset="0"/>
                <a:ea typeface="+mn-ea"/>
                <a:cs typeface="+mn-cs"/>
              </a:rPr>
              <a:t> </a:t>
            </a:r>
            <a:r>
              <a:rPr lang="pt-BR" sz="1800" b="1">
                <a:solidFill>
                  <a:schemeClr val="bg1">
                    <a:lumMod val="85000"/>
                  </a:schemeClr>
                </a:solidFill>
                <a:effectLst/>
                <a:latin typeface="Century Gothic" pitchFamily="34" charset="0"/>
                <a:ea typeface="+mn-ea"/>
                <a:cs typeface="+mn-cs"/>
              </a:rPr>
              <a:t>de Inspeção</a:t>
            </a:r>
          </a:p>
        </xdr:txBody>
      </xdr:sp>
    </xdr:grpSp>
    <xdr:clientData/>
  </xdr:twoCellAnchor>
  <xdr:twoCellAnchor editAs="absolute">
    <xdr:from>
      <xdr:col>0</xdr:col>
      <xdr:colOff>253590</xdr:colOff>
      <xdr:row>9</xdr:row>
      <xdr:rowOff>138079</xdr:rowOff>
    </xdr:from>
    <xdr:to>
      <xdr:col>2</xdr:col>
      <xdr:colOff>4906</xdr:colOff>
      <xdr:row>12</xdr:row>
      <xdr:rowOff>5321</xdr:rowOff>
    </xdr:to>
    <xdr:grpSp>
      <xdr:nvGrpSpPr>
        <xdr:cNvPr id="96" name="Grupo 9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xmlns="" id="{00000000-0008-0000-0000-000060000000}"/>
            </a:ext>
          </a:extLst>
        </xdr:cNvPr>
        <xdr:cNvGrpSpPr>
          <a:grpSpLocks noChangeAspect="1"/>
        </xdr:cNvGrpSpPr>
      </xdr:nvGrpSpPr>
      <xdr:grpSpPr>
        <a:xfrm>
          <a:off x="253590" y="3549761"/>
          <a:ext cx="2764680" cy="715833"/>
          <a:chOff x="197619" y="3602710"/>
          <a:chExt cx="2779667" cy="694910"/>
        </a:xfrm>
      </xdr:grpSpPr>
      <xdr:pic>
        <xdr:nvPicPr>
          <xdr:cNvPr id="43" name="Imagem 42">
            <a:extLst>
              <a:ext uri="{FF2B5EF4-FFF2-40B4-BE49-F238E27FC236}">
                <a16:creationId xmlns:a16="http://schemas.microsoft.com/office/drawing/2014/main" xmlns="" id="{00000000-0008-0000-0000-00002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lum bright="70000" contrast="-70000"/>
            <a:extLst>
              <a:ext uri="{BEBA8EAE-BF5A-486C-A8C5-ECC9F3942E4B}">
                <a14:imgProps xmlns:a14="http://schemas.microsoft.com/office/drawing/2010/main">
                  <a14:imgLayer r:embed="rId9">
                    <a14:imgEffect>
                      <a14:brightnessContrast bright="40000" contrast="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7619" y="3658842"/>
            <a:ext cx="605318" cy="580628"/>
          </a:xfrm>
          <a:prstGeom prst="rect">
            <a:avLst/>
          </a:prstGeom>
        </xdr:spPr>
      </xdr:pic>
      <xdr:sp macro="" textlink="">
        <xdr:nvSpPr>
          <xdr:cNvPr id="65" name="CaixaDeTexto 64">
            <a:extLst>
              <a:ext uri="{FF2B5EF4-FFF2-40B4-BE49-F238E27FC236}">
                <a16:creationId xmlns:a16="http://schemas.microsoft.com/office/drawing/2014/main" xmlns="" id="{00000000-0008-0000-0000-000041000000}"/>
              </a:ext>
            </a:extLst>
          </xdr:cNvPr>
          <xdr:cNvSpPr txBox="1"/>
        </xdr:nvSpPr>
        <xdr:spPr>
          <a:xfrm>
            <a:off x="724462" y="3602710"/>
            <a:ext cx="2252824" cy="6949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chemeClr val="bg1">
                    <a:lumMod val="85000"/>
                  </a:schemeClr>
                </a:solidFill>
                <a:latin typeface="Century Gothic" pitchFamily="34" charset="0"/>
              </a:rPr>
              <a:t>Check-list</a:t>
            </a:r>
          </a:p>
          <a:p>
            <a:pPr algn="ctr"/>
            <a:r>
              <a:rPr lang="pt-BR" sz="1800" b="1">
                <a:solidFill>
                  <a:schemeClr val="bg1">
                    <a:lumMod val="85000"/>
                  </a:schemeClr>
                </a:solidFill>
                <a:latin typeface="Century Gothic" pitchFamily="34" charset="0"/>
              </a:rPr>
              <a:t>Entrada de Molde</a:t>
            </a:r>
          </a:p>
        </xdr:txBody>
      </xdr:sp>
    </xdr:grpSp>
    <xdr:clientData/>
  </xdr:twoCellAnchor>
  <xdr:twoCellAnchor editAs="absolute">
    <xdr:from>
      <xdr:col>0</xdr:col>
      <xdr:colOff>256770</xdr:colOff>
      <xdr:row>13</xdr:row>
      <xdr:rowOff>2043</xdr:rowOff>
    </xdr:from>
    <xdr:to>
      <xdr:col>1</xdr:col>
      <xdr:colOff>2259996</xdr:colOff>
      <xdr:row>15</xdr:row>
      <xdr:rowOff>219761</xdr:rowOff>
    </xdr:to>
    <xdr:grpSp>
      <xdr:nvGrpSpPr>
        <xdr:cNvPr id="97" name="Grupo 9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xmlns="" id="{00000000-0008-0000-0000-000061000000}"/>
            </a:ext>
          </a:extLst>
        </xdr:cNvPr>
        <xdr:cNvGrpSpPr>
          <a:grpSpLocks noChangeAspect="1"/>
        </xdr:cNvGrpSpPr>
      </xdr:nvGrpSpPr>
      <xdr:grpSpPr>
        <a:xfrm>
          <a:off x="256770" y="4591361"/>
          <a:ext cx="2609362" cy="737264"/>
          <a:chOff x="200818" y="4692895"/>
          <a:chExt cx="2622199" cy="740020"/>
        </a:xfrm>
      </xdr:grpSpPr>
      <xdr:pic>
        <xdr:nvPicPr>
          <xdr:cNvPr id="47" name="Imagem 46">
            <a:extLst>
              <a:ext uri="{FF2B5EF4-FFF2-40B4-BE49-F238E27FC236}">
                <a16:creationId xmlns:a16="http://schemas.microsoft.com/office/drawing/2014/main" xmlns="" id="{00000000-0008-0000-0000-00002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lum bright="70000" contrast="-7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0818" y="4801754"/>
            <a:ext cx="540924" cy="550563"/>
          </a:xfrm>
          <a:prstGeom prst="rect">
            <a:avLst/>
          </a:prstGeom>
        </xdr:spPr>
      </xdr:pic>
      <xdr:sp macro="" textlink="">
        <xdr:nvSpPr>
          <xdr:cNvPr id="67" name="CaixaDeTexto 66">
            <a:extLst>
              <a:ext uri="{FF2B5EF4-FFF2-40B4-BE49-F238E27FC236}">
                <a16:creationId xmlns:a16="http://schemas.microsoft.com/office/drawing/2014/main" xmlns="" id="{00000000-0008-0000-0000-000043000000}"/>
              </a:ext>
            </a:extLst>
          </xdr:cNvPr>
          <xdr:cNvSpPr txBox="1"/>
        </xdr:nvSpPr>
        <xdr:spPr>
          <a:xfrm>
            <a:off x="748470" y="4692895"/>
            <a:ext cx="2074547" cy="7400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800" b="1">
                <a:solidFill>
                  <a:schemeClr val="bg1">
                    <a:lumMod val="85000"/>
                  </a:schemeClr>
                </a:solidFill>
                <a:effectLst/>
                <a:latin typeface="Century Gothic" pitchFamily="34" charset="0"/>
                <a:ea typeface="+mn-ea"/>
                <a:cs typeface="+mn-cs"/>
              </a:rPr>
              <a:t>Medidas Funcionais</a:t>
            </a:r>
            <a:endParaRPr lang="pt-BR" sz="1800" b="1">
              <a:solidFill>
                <a:schemeClr val="bg1">
                  <a:lumMod val="85000"/>
                </a:schemeClr>
              </a:solidFill>
              <a:effectLst/>
              <a:latin typeface="Century Gothic" pitchFamily="34" charset="0"/>
            </a:endParaRPr>
          </a:p>
        </xdr:txBody>
      </xdr:sp>
    </xdr:grpSp>
    <xdr:clientData/>
  </xdr:twoCellAnchor>
  <xdr:twoCellAnchor editAs="absolute">
    <xdr:from>
      <xdr:col>0</xdr:col>
      <xdr:colOff>242571</xdr:colOff>
      <xdr:row>16</xdr:row>
      <xdr:rowOff>163941</xdr:rowOff>
    </xdr:from>
    <xdr:to>
      <xdr:col>1</xdr:col>
      <xdr:colOff>2154117</xdr:colOff>
      <xdr:row>19</xdr:row>
      <xdr:rowOff>74287</xdr:rowOff>
    </xdr:to>
    <xdr:grpSp>
      <xdr:nvGrpSpPr>
        <xdr:cNvPr id="98" name="Grupo 9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xmlns="" id="{00000000-0008-0000-0000-000062000000}"/>
            </a:ext>
          </a:extLst>
        </xdr:cNvPr>
        <xdr:cNvGrpSpPr>
          <a:grpSpLocks noChangeAspect="1"/>
        </xdr:cNvGrpSpPr>
      </xdr:nvGrpSpPr>
      <xdr:grpSpPr>
        <a:xfrm>
          <a:off x="242571" y="5601850"/>
          <a:ext cx="2517682" cy="758937"/>
          <a:chOff x="149211" y="5851147"/>
          <a:chExt cx="2530551" cy="752621"/>
        </a:xfrm>
      </xdr:grpSpPr>
      <xdr:pic>
        <xdr:nvPicPr>
          <xdr:cNvPr id="51" name="Imagem 50">
            <a:extLst>
              <a:ext uri="{FF2B5EF4-FFF2-40B4-BE49-F238E27FC236}">
                <a16:creationId xmlns:a16="http://schemas.microsoft.com/office/drawing/2014/main" xmlns="" id="{00000000-0008-0000-0000-00003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BEBA8EAE-BF5A-486C-A8C5-ECC9F3942E4B}">
                <a14:imgProps xmlns:a14="http://schemas.microsoft.com/office/drawing/2010/main">
                  <a14:imgLayer r:embed="rId14">
                    <a14:imgEffect>
                      <a14:colorTemperature colorTemp="5500"/>
                    </a14:imgEffect>
                    <a14:imgEffect>
                      <a14:brightnessContrast bright="100000" contrast="1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9211" y="5982430"/>
            <a:ext cx="601813" cy="569929"/>
          </a:xfrm>
          <a:prstGeom prst="rect">
            <a:avLst/>
          </a:prstGeom>
          <a:scene3d>
            <a:camera prst="orthographicFront"/>
            <a:lightRig rig="threePt" dir="t"/>
          </a:scene3d>
          <a:sp3d prstMaterial="matte"/>
        </xdr:spPr>
      </xdr:pic>
      <xdr:sp macro="" textlink="">
        <xdr:nvSpPr>
          <xdr:cNvPr id="68" name="CaixaDeTexto 67">
            <a:extLst>
              <a:ext uri="{FF2B5EF4-FFF2-40B4-BE49-F238E27FC236}">
                <a16:creationId xmlns:a16="http://schemas.microsoft.com/office/drawing/2014/main" xmlns="" id="{00000000-0008-0000-0000-000044000000}"/>
              </a:ext>
            </a:extLst>
          </xdr:cNvPr>
          <xdr:cNvSpPr txBox="1"/>
        </xdr:nvSpPr>
        <xdr:spPr>
          <a:xfrm>
            <a:off x="721650" y="5851147"/>
            <a:ext cx="1958112" cy="7526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chemeClr val="bg1">
                    <a:lumMod val="85000"/>
                  </a:schemeClr>
                </a:solidFill>
                <a:latin typeface="Century Gothic" pitchFamily="34" charset="0"/>
              </a:rPr>
              <a:t>Desenhos Técnicos</a:t>
            </a:r>
          </a:p>
        </xdr:txBody>
      </xdr:sp>
    </xdr:grpSp>
    <xdr:clientData/>
  </xdr:twoCellAnchor>
  <xdr:twoCellAnchor editAs="absolute">
    <xdr:from>
      <xdr:col>0</xdr:col>
      <xdr:colOff>274608</xdr:colOff>
      <xdr:row>23</xdr:row>
      <xdr:rowOff>278573</xdr:rowOff>
    </xdr:from>
    <xdr:to>
      <xdr:col>1</xdr:col>
      <xdr:colOff>2220314</xdr:colOff>
      <xdr:row>26</xdr:row>
      <xdr:rowOff>8786</xdr:rowOff>
    </xdr:to>
    <xdr:grpSp>
      <xdr:nvGrpSpPr>
        <xdr:cNvPr id="99" name="Grupo 9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xmlns="" id="{00000000-0008-0000-0000-000063000000}"/>
            </a:ext>
          </a:extLst>
        </xdr:cNvPr>
        <xdr:cNvGrpSpPr>
          <a:grpSpLocks noChangeAspect="1"/>
        </xdr:cNvGrpSpPr>
      </xdr:nvGrpSpPr>
      <xdr:grpSpPr>
        <a:xfrm>
          <a:off x="274608" y="7742709"/>
          <a:ext cx="2551842" cy="578804"/>
          <a:chOff x="256163" y="7145765"/>
          <a:chExt cx="2566606" cy="568414"/>
        </a:xfrm>
      </xdr:grpSpPr>
      <xdr:pic>
        <xdr:nvPicPr>
          <xdr:cNvPr id="39" name="Imagem 38">
            <a:extLst>
              <a:ext uri="{FF2B5EF4-FFF2-40B4-BE49-F238E27FC236}">
                <a16:creationId xmlns:a16="http://schemas.microsoft.com/office/drawing/2014/main" xmlns="" id="{00000000-0008-0000-0000-00002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lum bright="70000" contrast="-70000"/>
            <a:extLst>
              <a:ext uri="{BEBA8EAE-BF5A-486C-A8C5-ECC9F3942E4B}">
                <a14:imgProps xmlns:a14="http://schemas.microsoft.com/office/drawing/2010/main">
                  <a14:imgLayer r:embed="rId17">
                    <a14:imgEffect>
                      <a14:brightnessContrast bright="40000" contrast="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6163" y="7145765"/>
            <a:ext cx="576752" cy="568414"/>
          </a:xfrm>
          <a:prstGeom prst="rect">
            <a:avLst/>
          </a:prstGeom>
        </xdr:spPr>
      </xdr:pic>
      <xdr:sp macro="" textlink="">
        <xdr:nvSpPr>
          <xdr:cNvPr id="69" name="CaixaDeTexto 68">
            <a:extLst>
              <a:ext uri="{FF2B5EF4-FFF2-40B4-BE49-F238E27FC236}">
                <a16:creationId xmlns:a16="http://schemas.microsoft.com/office/drawing/2014/main" xmlns="" id="{00000000-0008-0000-0000-000045000000}"/>
              </a:ext>
            </a:extLst>
          </xdr:cNvPr>
          <xdr:cNvSpPr txBox="1"/>
        </xdr:nvSpPr>
        <xdr:spPr>
          <a:xfrm>
            <a:off x="698236" y="7290687"/>
            <a:ext cx="2124533" cy="23526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chemeClr val="bg1">
                    <a:lumMod val="85000"/>
                  </a:schemeClr>
                </a:solidFill>
                <a:latin typeface="Century Gothic" pitchFamily="34" charset="0"/>
              </a:rPr>
              <a:t>Estudos</a:t>
            </a:r>
          </a:p>
        </xdr:txBody>
      </xdr:sp>
    </xdr:grpSp>
    <xdr:clientData/>
  </xdr:twoCellAnchor>
  <xdr:twoCellAnchor editAs="absolute">
    <xdr:from>
      <xdr:col>0</xdr:col>
      <xdr:colOff>37352</xdr:colOff>
      <xdr:row>1</xdr:row>
      <xdr:rowOff>7499</xdr:rowOff>
    </xdr:from>
    <xdr:to>
      <xdr:col>2</xdr:col>
      <xdr:colOff>39125</xdr:colOff>
      <xdr:row>5</xdr:row>
      <xdr:rowOff>54465</xdr:rowOff>
    </xdr:to>
    <xdr:grpSp>
      <xdr:nvGrpSpPr>
        <xdr:cNvPr id="36" name="Grupo 35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GrpSpPr>
          <a:grpSpLocks noChangeAspect="1"/>
        </xdr:cNvGrpSpPr>
      </xdr:nvGrpSpPr>
      <xdr:grpSpPr>
        <a:xfrm>
          <a:off x="37352" y="1133181"/>
          <a:ext cx="3015137" cy="1155329"/>
          <a:chOff x="0" y="1126687"/>
          <a:chExt cx="3025961" cy="1115829"/>
        </a:xfrm>
      </xdr:grpSpPr>
      <xdr:sp macro="" textlink="">
        <xdr:nvSpPr>
          <xdr:cNvPr id="89" name="Retângulo 88">
            <a:extLst>
              <a:ext uri="{FF2B5EF4-FFF2-40B4-BE49-F238E27FC236}">
                <a16:creationId xmlns:a16="http://schemas.microsoft.com/office/drawing/2014/main" xmlns="" id="{00000000-0008-0000-0000-000059000000}"/>
              </a:ext>
            </a:extLst>
          </xdr:cNvPr>
          <xdr:cNvSpPr/>
        </xdr:nvSpPr>
        <xdr:spPr>
          <a:xfrm>
            <a:off x="0" y="1126687"/>
            <a:ext cx="3025961" cy="111582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90" name="CaixaDeTexto 89">
            <a:extLst>
              <a:ext uri="{FF2B5EF4-FFF2-40B4-BE49-F238E27FC236}">
                <a16:creationId xmlns:a16="http://schemas.microsoft.com/office/drawing/2014/main" xmlns="" id="{00000000-0008-0000-0000-00005A000000}"/>
              </a:ext>
            </a:extLst>
          </xdr:cNvPr>
          <xdr:cNvSpPr txBox="1"/>
        </xdr:nvSpPr>
        <xdr:spPr>
          <a:xfrm>
            <a:off x="619460" y="1377221"/>
            <a:ext cx="2224466" cy="6154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2000" b="1">
                <a:latin typeface="Century Gothic" pitchFamily="34" charset="0"/>
              </a:rPr>
              <a:t>HOME</a:t>
            </a:r>
          </a:p>
        </xdr:txBody>
      </xdr:sp>
      <xdr:pic>
        <xdr:nvPicPr>
          <xdr:cNvPr id="91" name="Imagem 90">
            <a:extLst>
              <a:ext uri="{FF2B5EF4-FFF2-40B4-BE49-F238E27FC236}">
                <a16:creationId xmlns:a16="http://schemas.microsoft.com/office/drawing/2014/main" xmlns="" id="{00000000-0008-0000-0000-00005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9556" y="1397709"/>
            <a:ext cx="647374" cy="654058"/>
          </a:xfrm>
          <a:prstGeom prst="rect">
            <a:avLst/>
          </a:prstGeom>
          <a:noFill/>
        </xdr:spPr>
      </xdr:pic>
    </xdr:grpSp>
    <xdr:clientData/>
  </xdr:twoCellAnchor>
  <xdr:twoCellAnchor editAs="absolute">
    <xdr:from>
      <xdr:col>0</xdr:col>
      <xdr:colOff>237449</xdr:colOff>
      <xdr:row>38</xdr:row>
      <xdr:rowOff>403754</xdr:rowOff>
    </xdr:from>
    <xdr:to>
      <xdr:col>1</xdr:col>
      <xdr:colOff>2229923</xdr:colOff>
      <xdr:row>40</xdr:row>
      <xdr:rowOff>344436</xdr:rowOff>
    </xdr:to>
    <xdr:grpSp>
      <xdr:nvGrpSpPr>
        <xdr:cNvPr id="37" name="Grupo 36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GrpSpPr/>
      </xdr:nvGrpSpPr>
      <xdr:grpSpPr>
        <a:xfrm>
          <a:off x="237449" y="12561118"/>
          <a:ext cx="2598610" cy="720000"/>
          <a:chOff x="196023" y="10608237"/>
          <a:chExt cx="2608798" cy="672360"/>
        </a:xfrm>
      </xdr:grpSpPr>
      <xdr:pic>
        <xdr:nvPicPr>
          <xdr:cNvPr id="53" name="Imagem 52">
            <a:extLst>
              <a:ext uri="{FF2B5EF4-FFF2-40B4-BE49-F238E27FC236}">
                <a16:creationId xmlns:a16="http://schemas.microsoft.com/office/drawing/2014/main" xmlns="" id="{00000000-0008-0000-0000-00003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BEBA8EAE-BF5A-486C-A8C5-ECC9F3942E4B}">
                <a14:imgProps xmlns:a14="http://schemas.microsoft.com/office/drawing/2010/main">
                  <a14:imgLayer r:embed="rId22">
                    <a14:imgEffect>
                      <a14:sharpenSoften amount="-30000"/>
                    </a14:imgEffect>
                    <a14:imgEffect>
                      <a14:colorTemperature colorTemp="4500"/>
                    </a14:imgEffect>
                    <a14:imgEffect>
                      <a14:saturation sat="60000"/>
                    </a14:imgEffect>
                    <a14:imgEffect>
                      <a14:brightnessContrast bright="100000" contrast="-7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023" y="10660860"/>
            <a:ext cx="557208" cy="557208"/>
          </a:xfrm>
          <a:prstGeom prst="rect">
            <a:avLst/>
          </a:prstGeom>
          <a:effectLst>
            <a:glow>
              <a:schemeClr val="accent1">
                <a:alpha val="40000"/>
              </a:schemeClr>
            </a:glow>
            <a:softEdge rad="0"/>
          </a:effectLst>
        </xdr:spPr>
      </xdr:pic>
      <xdr:sp macro="" textlink="">
        <xdr:nvSpPr>
          <xdr:cNvPr id="54" name="CaixaDeTexto 53">
            <a:extLst>
              <a:ext uri="{FF2B5EF4-FFF2-40B4-BE49-F238E27FC236}">
                <a16:creationId xmlns:a16="http://schemas.microsoft.com/office/drawing/2014/main" xmlns="" id="{00000000-0008-0000-0000-000036000000}"/>
              </a:ext>
            </a:extLst>
          </xdr:cNvPr>
          <xdr:cNvSpPr txBox="1"/>
        </xdr:nvSpPr>
        <xdr:spPr>
          <a:xfrm>
            <a:off x="684074" y="10608237"/>
            <a:ext cx="2120747" cy="6723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chemeClr val="bg1">
                    <a:lumMod val="85000"/>
                  </a:schemeClr>
                </a:solidFill>
                <a:latin typeface="Century Gothic" pitchFamily="34" charset="0"/>
              </a:rPr>
              <a:t>CONSULTA</a:t>
            </a:r>
          </a:p>
          <a:p>
            <a:pPr algn="ctr"/>
            <a:r>
              <a:rPr lang="pt-BR" sz="1800" b="1">
                <a:solidFill>
                  <a:schemeClr val="bg1">
                    <a:lumMod val="85000"/>
                  </a:schemeClr>
                </a:solidFill>
                <a:latin typeface="Century Gothic" pitchFamily="34" charset="0"/>
              </a:rPr>
              <a:t>IT 7.5.1-17 </a:t>
            </a:r>
          </a:p>
        </xdr:txBody>
      </xdr:sp>
    </xdr:grpSp>
    <xdr:clientData/>
  </xdr:twoCellAnchor>
  <xdr:twoCellAnchor editAs="absolute">
    <xdr:from>
      <xdr:col>0</xdr:col>
      <xdr:colOff>268182</xdr:colOff>
      <xdr:row>20</xdr:row>
      <xdr:rowOff>242</xdr:rowOff>
    </xdr:from>
    <xdr:to>
      <xdr:col>1</xdr:col>
      <xdr:colOff>2223304</xdr:colOff>
      <xdr:row>22</xdr:row>
      <xdr:rowOff>287633</xdr:rowOff>
    </xdr:to>
    <xdr:grpSp>
      <xdr:nvGrpSpPr>
        <xdr:cNvPr id="55" name="Grupo 5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GrpSpPr>
          <a:grpSpLocks noChangeAspect="1"/>
        </xdr:cNvGrpSpPr>
      </xdr:nvGrpSpPr>
      <xdr:grpSpPr>
        <a:xfrm>
          <a:off x="268182" y="6615787"/>
          <a:ext cx="2561258" cy="806937"/>
          <a:chOff x="209311" y="7034936"/>
          <a:chExt cx="2576038" cy="800195"/>
        </a:xfrm>
      </xdr:grpSpPr>
      <xdr:pic>
        <xdr:nvPicPr>
          <xdr:cNvPr id="56" name="Imagem 55">
            <a:extLst>
              <a:ext uri="{FF2B5EF4-FFF2-40B4-BE49-F238E27FC236}">
                <a16:creationId xmlns:a16="http://schemas.microsoft.com/office/drawing/2014/main" xmlns="" id="{00000000-0008-0000-0000-00003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lum bright="70000" contrast="-7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9311" y="7145765"/>
            <a:ext cx="558203" cy="568414"/>
          </a:xfrm>
          <a:prstGeom prst="rect">
            <a:avLst/>
          </a:prstGeom>
        </xdr:spPr>
      </xdr:pic>
      <xdr:sp macro="" textlink="">
        <xdr:nvSpPr>
          <xdr:cNvPr id="57" name="CaixaDeTexto 56">
            <a:extLst>
              <a:ext uri="{FF2B5EF4-FFF2-40B4-BE49-F238E27FC236}">
                <a16:creationId xmlns:a16="http://schemas.microsoft.com/office/drawing/2014/main" xmlns="" id="{00000000-0008-0000-0000-000039000000}"/>
              </a:ext>
            </a:extLst>
          </xdr:cNvPr>
          <xdr:cNvSpPr txBox="1"/>
        </xdr:nvSpPr>
        <xdr:spPr>
          <a:xfrm>
            <a:off x="660816" y="7034936"/>
            <a:ext cx="2124533" cy="8001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 baseline="0">
                <a:solidFill>
                  <a:schemeClr val="bg1"/>
                </a:solidFill>
                <a:effectLst/>
                <a:latin typeface="Century Gothic" panose="020B0502020202020204" pitchFamily="34" charset="0"/>
                <a:ea typeface="+mn-ea"/>
                <a:cs typeface="+mn-cs"/>
              </a:rPr>
              <a:t>Ficha Técnica</a:t>
            </a:r>
            <a:br>
              <a:rPr lang="pt-BR" sz="1800" b="1" baseline="0">
                <a:solidFill>
                  <a:schemeClr val="bg1"/>
                </a:solidFill>
                <a:effectLst/>
                <a:latin typeface="Century Gothic" panose="020B0502020202020204" pitchFamily="34" charset="0"/>
                <a:ea typeface="+mn-ea"/>
                <a:cs typeface="+mn-cs"/>
              </a:rPr>
            </a:br>
            <a:r>
              <a:rPr lang="pt-BR" sz="1800" b="1" baseline="0">
                <a:solidFill>
                  <a:schemeClr val="bg1"/>
                </a:solidFill>
                <a:effectLst/>
                <a:latin typeface="Century Gothic" panose="020B0502020202020204" pitchFamily="34" charset="0"/>
                <a:ea typeface="+mn-ea"/>
                <a:cs typeface="+mn-cs"/>
              </a:rPr>
              <a:t>Polimeros</a:t>
            </a:r>
            <a:endParaRPr lang="pt-BR" sz="1800">
              <a:solidFill>
                <a:schemeClr val="bg1"/>
              </a:solidFill>
              <a:effectLst/>
              <a:latin typeface="Century Gothic" panose="020B0502020202020204" pitchFamily="34" charset="0"/>
            </a:endParaRPr>
          </a:p>
        </xdr:txBody>
      </xdr:sp>
    </xdr:grpSp>
    <xdr:clientData/>
  </xdr:twoCellAnchor>
  <xdr:twoCellAnchor editAs="absolute">
    <xdr:from>
      <xdr:col>0</xdr:col>
      <xdr:colOff>282733</xdr:colOff>
      <xdr:row>27</xdr:row>
      <xdr:rowOff>139928</xdr:rowOff>
    </xdr:from>
    <xdr:to>
      <xdr:col>1</xdr:col>
      <xdr:colOff>2190011</xdr:colOff>
      <xdr:row>29</xdr:row>
      <xdr:rowOff>71848</xdr:rowOff>
    </xdr:to>
    <xdr:grpSp>
      <xdr:nvGrpSpPr>
        <xdr:cNvPr id="63" name="Grupo 62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GrpSpPr>
          <a:grpSpLocks noChangeAspect="1"/>
        </xdr:cNvGrpSpPr>
      </xdr:nvGrpSpPr>
      <xdr:grpSpPr>
        <a:xfrm>
          <a:off x="282733" y="8781701"/>
          <a:ext cx="2513414" cy="590011"/>
          <a:chOff x="288106" y="7153807"/>
          <a:chExt cx="2534663" cy="568414"/>
        </a:xfrm>
      </xdr:grpSpPr>
      <xdr:pic>
        <xdr:nvPicPr>
          <xdr:cNvPr id="64" name="Imagem 63">
            <a:extLst>
              <a:ext uri="{FF2B5EF4-FFF2-40B4-BE49-F238E27FC236}">
                <a16:creationId xmlns:a16="http://schemas.microsoft.com/office/drawing/2014/main" xmlns="" id="{00000000-0008-0000-0000-00004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 cstate="print">
            <a:lum bright="70000" contrast="-7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8106" y="7153807"/>
            <a:ext cx="571931" cy="568414"/>
          </a:xfrm>
          <a:prstGeom prst="rect">
            <a:avLst/>
          </a:prstGeom>
        </xdr:spPr>
      </xdr:pic>
      <xdr:sp macro="" textlink="">
        <xdr:nvSpPr>
          <xdr:cNvPr id="66" name="CaixaDeTexto 65">
            <a:extLst>
              <a:ext uri="{FF2B5EF4-FFF2-40B4-BE49-F238E27FC236}">
                <a16:creationId xmlns:a16="http://schemas.microsoft.com/office/drawing/2014/main" xmlns="" id="{00000000-0008-0000-0000-000042000000}"/>
              </a:ext>
            </a:extLst>
          </xdr:cNvPr>
          <xdr:cNvSpPr txBox="1"/>
        </xdr:nvSpPr>
        <xdr:spPr>
          <a:xfrm>
            <a:off x="698236" y="7290687"/>
            <a:ext cx="2124533" cy="23526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chemeClr val="bg1">
                    <a:lumMod val="95000"/>
                  </a:schemeClr>
                </a:solidFill>
                <a:latin typeface="Century Gothic" pitchFamily="34" charset="0"/>
              </a:rPr>
              <a:t>Kanban</a:t>
            </a:r>
          </a:p>
        </xdr:txBody>
      </xdr:sp>
    </xdr:grpSp>
    <xdr:clientData/>
  </xdr:twoCellAnchor>
  <xdr:twoCellAnchor editAs="absolute">
    <xdr:from>
      <xdr:col>4</xdr:col>
      <xdr:colOff>1036473</xdr:colOff>
      <xdr:row>3</xdr:row>
      <xdr:rowOff>60502</xdr:rowOff>
    </xdr:from>
    <xdr:to>
      <xdr:col>5</xdr:col>
      <xdr:colOff>1728</xdr:colOff>
      <xdr:row>4</xdr:row>
      <xdr:rowOff>285748</xdr:rowOff>
    </xdr:to>
    <xdr:pic>
      <xdr:nvPicPr>
        <xdr:cNvPr id="71" name="Imagem 70">
          <a:extLst>
            <a:ext uri="{FF2B5EF4-FFF2-40B4-BE49-F238E27FC236}">
              <a16:creationId xmlns:a16="http://schemas.microsoft.com/office/drawing/2014/main" xmlns="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BEBA8EAE-BF5A-486C-A8C5-ECC9F3942E4B}">
              <a14:imgProps xmlns:a14="http://schemas.microsoft.com/office/drawing/2010/main">
                <a14:imgLayer r:embed="rId28">
                  <a14:imgEffect>
                    <a14:colorTemperature colorTemp="625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239" y="1620221"/>
          <a:ext cx="548786" cy="54671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absolute">
    <xdr:from>
      <xdr:col>4</xdr:col>
      <xdr:colOff>1015042</xdr:colOff>
      <xdr:row>7</xdr:row>
      <xdr:rowOff>45024</xdr:rowOff>
    </xdr:from>
    <xdr:to>
      <xdr:col>4</xdr:col>
      <xdr:colOff>1569023</xdr:colOff>
      <xdr:row>8</xdr:row>
      <xdr:rowOff>270270</xdr:rowOff>
    </xdr:to>
    <xdr:pic>
      <xdr:nvPicPr>
        <xdr:cNvPr id="72" name="Imagem 71">
          <a:extLst>
            <a:ext uri="{FF2B5EF4-FFF2-40B4-BE49-F238E27FC236}">
              <a16:creationId xmlns:a16="http://schemas.microsoft.com/office/drawing/2014/main" xmlns="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BEBA8EAE-BF5A-486C-A8C5-ECC9F3942E4B}">
              <a14:imgProps xmlns:a14="http://schemas.microsoft.com/office/drawing/2010/main">
                <a14:imgLayer r:embed="rId28">
                  <a14:imgEffect>
                    <a14:colorTemperature colorTemp="625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6617" y="2769174"/>
          <a:ext cx="553981" cy="549096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4</xdr:col>
      <xdr:colOff>1030728</xdr:colOff>
      <xdr:row>11</xdr:row>
      <xdr:rowOff>62004</xdr:rowOff>
    </xdr:from>
    <xdr:to>
      <xdr:col>5</xdr:col>
      <xdr:colOff>3559</xdr:colOff>
      <xdr:row>12</xdr:row>
      <xdr:rowOff>287250</xdr:rowOff>
    </xdr:to>
    <xdr:pic>
      <xdr:nvPicPr>
        <xdr:cNvPr id="73" name="Imagem 72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xmlns="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BEBA8EAE-BF5A-486C-A8C5-ECC9F3942E4B}">
              <a14:imgProps xmlns:a14="http://schemas.microsoft.com/office/drawing/2010/main">
                <a14:imgLayer r:embed="rId28">
                  <a14:imgEffect>
                    <a14:colorTemperature colorTemp="625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6858" y="3946547"/>
          <a:ext cx="548786" cy="548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4</xdr:col>
      <xdr:colOff>1025420</xdr:colOff>
      <xdr:row>15</xdr:row>
      <xdr:rowOff>54451</xdr:rowOff>
    </xdr:from>
    <xdr:to>
      <xdr:col>5</xdr:col>
      <xdr:colOff>631</xdr:colOff>
      <xdr:row>16</xdr:row>
      <xdr:rowOff>277112</xdr:rowOff>
    </xdr:to>
    <xdr:pic>
      <xdr:nvPicPr>
        <xdr:cNvPr id="74" name="Imagem 73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xmlns="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BEBA8EAE-BF5A-486C-A8C5-ECC9F3942E4B}">
              <a14:imgProps xmlns:a14="http://schemas.microsoft.com/office/drawing/2010/main">
                <a14:imgLayer r:embed="rId28">
                  <a14:imgEffect>
                    <a14:colorTemperature colorTemp="625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7728" y="5088047"/>
          <a:ext cx="546836" cy="545046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4</xdr:col>
      <xdr:colOff>1027042</xdr:colOff>
      <xdr:row>19</xdr:row>
      <xdr:rowOff>66263</xdr:rowOff>
    </xdr:from>
    <xdr:to>
      <xdr:col>5</xdr:col>
      <xdr:colOff>4203</xdr:colOff>
      <xdr:row>20</xdr:row>
      <xdr:rowOff>291509</xdr:rowOff>
    </xdr:to>
    <xdr:pic>
      <xdr:nvPicPr>
        <xdr:cNvPr id="75" name="Imagem 74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xmlns="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BEBA8EAE-BF5A-486C-A8C5-ECC9F3942E4B}">
              <a14:imgProps xmlns:a14="http://schemas.microsoft.com/office/drawing/2010/main">
                <a14:imgLayer r:embed="rId28">
                  <a14:imgEffect>
                    <a14:colorTemperature colorTemp="625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3172" y="6269937"/>
          <a:ext cx="548786" cy="548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4</xdr:col>
      <xdr:colOff>1027046</xdr:colOff>
      <xdr:row>23</xdr:row>
      <xdr:rowOff>66262</xdr:rowOff>
    </xdr:from>
    <xdr:to>
      <xdr:col>5</xdr:col>
      <xdr:colOff>4207</xdr:colOff>
      <xdr:row>24</xdr:row>
      <xdr:rowOff>291508</xdr:rowOff>
    </xdr:to>
    <xdr:pic>
      <xdr:nvPicPr>
        <xdr:cNvPr id="76" name="Imagem 75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xmlns="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BEBA8EAE-BF5A-486C-A8C5-ECC9F3942E4B}">
              <a14:imgProps xmlns:a14="http://schemas.microsoft.com/office/drawing/2010/main">
                <a14:imgLayer r:embed="rId28">
                  <a14:imgEffect>
                    <a14:colorTemperature colorTemp="625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3176" y="7429501"/>
          <a:ext cx="548786" cy="548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4</xdr:col>
      <xdr:colOff>1027042</xdr:colOff>
      <xdr:row>27</xdr:row>
      <xdr:rowOff>66263</xdr:rowOff>
    </xdr:from>
    <xdr:to>
      <xdr:col>5</xdr:col>
      <xdr:colOff>4203</xdr:colOff>
      <xdr:row>28</xdr:row>
      <xdr:rowOff>291509</xdr:rowOff>
    </xdr:to>
    <xdr:pic>
      <xdr:nvPicPr>
        <xdr:cNvPr id="77" name="Imagem 76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xmlns="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BEBA8EAE-BF5A-486C-A8C5-ECC9F3942E4B}">
              <a14:imgProps xmlns:a14="http://schemas.microsoft.com/office/drawing/2010/main">
                <a14:imgLayer r:embed="rId28">
                  <a14:imgEffect>
                    <a14:colorTemperature colorTemp="625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3172" y="8589067"/>
          <a:ext cx="548786" cy="548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4</xdr:col>
      <xdr:colOff>1027042</xdr:colOff>
      <xdr:row>31</xdr:row>
      <xdr:rowOff>66262</xdr:rowOff>
    </xdr:from>
    <xdr:to>
      <xdr:col>5</xdr:col>
      <xdr:colOff>4203</xdr:colOff>
      <xdr:row>32</xdr:row>
      <xdr:rowOff>291509</xdr:rowOff>
    </xdr:to>
    <xdr:pic>
      <xdr:nvPicPr>
        <xdr:cNvPr id="78" name="Imagem 77">
          <a:extLst>
            <a:ext uri="{FF2B5EF4-FFF2-40B4-BE49-F238E27FC236}">
              <a16:creationId xmlns:a16="http://schemas.microsoft.com/office/drawing/2014/main" xmlns="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BEBA8EAE-BF5A-486C-A8C5-ECC9F3942E4B}">
              <a14:imgProps xmlns:a14="http://schemas.microsoft.com/office/drawing/2010/main">
                <a14:imgLayer r:embed="rId28">
                  <a14:imgEffect>
                    <a14:colorTemperature colorTemp="625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3172" y="9748632"/>
          <a:ext cx="548786" cy="548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10</xdr:col>
      <xdr:colOff>1042466</xdr:colOff>
      <xdr:row>3</xdr:row>
      <xdr:rowOff>66675</xdr:rowOff>
    </xdr:from>
    <xdr:to>
      <xdr:col>11</xdr:col>
      <xdr:colOff>2526</xdr:colOff>
      <xdr:row>4</xdr:row>
      <xdr:rowOff>291921</xdr:rowOff>
    </xdr:to>
    <xdr:pic>
      <xdr:nvPicPr>
        <xdr:cNvPr id="79" name="Imagem 78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xmlns="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BEBA8EAE-BF5A-486C-A8C5-ECC9F3942E4B}">
              <a14:imgProps xmlns:a14="http://schemas.microsoft.com/office/drawing/2010/main">
                <a14:imgLayer r:embed="rId28">
                  <a14:imgEffect>
                    <a14:colorTemperature colorTemp="625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0691" y="1628775"/>
          <a:ext cx="541210" cy="549096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10</xdr:col>
      <xdr:colOff>1040085</xdr:colOff>
      <xdr:row>7</xdr:row>
      <xdr:rowOff>70247</xdr:rowOff>
    </xdr:from>
    <xdr:to>
      <xdr:col>11</xdr:col>
      <xdr:colOff>7721</xdr:colOff>
      <xdr:row>8</xdr:row>
      <xdr:rowOff>295493</xdr:rowOff>
    </xdr:to>
    <xdr:pic>
      <xdr:nvPicPr>
        <xdr:cNvPr id="80" name="Imagem 79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xmlns="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BEBA8EAE-BF5A-486C-A8C5-ECC9F3942E4B}">
              <a14:imgProps xmlns:a14="http://schemas.microsoft.com/office/drawing/2010/main">
                <a14:imgLayer r:embed="rId28">
                  <a14:imgEffect>
                    <a14:colorTemperature colorTemp="625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08310" y="2794397"/>
          <a:ext cx="548786" cy="549096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10</xdr:col>
      <xdr:colOff>1036721</xdr:colOff>
      <xdr:row>11</xdr:row>
      <xdr:rowOff>68177</xdr:rowOff>
    </xdr:from>
    <xdr:to>
      <xdr:col>11</xdr:col>
      <xdr:colOff>4357</xdr:colOff>
      <xdr:row>12</xdr:row>
      <xdr:rowOff>293423</xdr:rowOff>
    </xdr:to>
    <xdr:pic>
      <xdr:nvPicPr>
        <xdr:cNvPr id="81" name="Imagem 80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xmlns="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BEBA8EAE-BF5A-486C-A8C5-ECC9F3942E4B}">
              <a14:imgProps xmlns:a14="http://schemas.microsoft.com/office/drawing/2010/main">
                <a14:imgLayer r:embed="rId28">
                  <a14:imgEffect>
                    <a14:colorTemperature colorTemp="625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04946" y="3954377"/>
          <a:ext cx="548786" cy="549096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10</xdr:col>
      <xdr:colOff>1040034</xdr:colOff>
      <xdr:row>15</xdr:row>
      <xdr:rowOff>68405</xdr:rowOff>
    </xdr:from>
    <xdr:to>
      <xdr:col>11</xdr:col>
      <xdr:colOff>1646</xdr:colOff>
      <xdr:row>16</xdr:row>
      <xdr:rowOff>288456</xdr:rowOff>
    </xdr:to>
    <xdr:pic>
      <xdr:nvPicPr>
        <xdr:cNvPr id="82" name="Imagem 81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xmlns="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BEBA8EAE-BF5A-486C-A8C5-ECC9F3942E4B}">
              <a14:imgProps xmlns:a14="http://schemas.microsoft.com/office/drawing/2010/main">
                <a14:imgLayer r:embed="rId28">
                  <a14:imgEffect>
                    <a14:colorTemperature colorTemp="625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08259" y="5116655"/>
          <a:ext cx="542762" cy="543901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10</xdr:col>
      <xdr:colOff>1033035</xdr:colOff>
      <xdr:row>19</xdr:row>
      <xdr:rowOff>72436</xdr:rowOff>
    </xdr:from>
    <xdr:to>
      <xdr:col>11</xdr:col>
      <xdr:colOff>671</xdr:colOff>
      <xdr:row>20</xdr:row>
      <xdr:rowOff>297682</xdr:rowOff>
    </xdr:to>
    <xdr:pic>
      <xdr:nvPicPr>
        <xdr:cNvPr id="83" name="Imagem 82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xmlns="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BEBA8EAE-BF5A-486C-A8C5-ECC9F3942E4B}">
              <a14:imgProps xmlns:a14="http://schemas.microsoft.com/office/drawing/2010/main">
                <a14:imgLayer r:embed="rId28">
                  <a14:imgEffect>
                    <a14:colorTemperature colorTemp="625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01260" y="6282736"/>
          <a:ext cx="548786" cy="549096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10</xdr:col>
      <xdr:colOff>1033039</xdr:colOff>
      <xdr:row>23</xdr:row>
      <xdr:rowOff>72435</xdr:rowOff>
    </xdr:from>
    <xdr:to>
      <xdr:col>11</xdr:col>
      <xdr:colOff>675</xdr:colOff>
      <xdr:row>24</xdr:row>
      <xdr:rowOff>297681</xdr:rowOff>
    </xdr:to>
    <xdr:pic>
      <xdr:nvPicPr>
        <xdr:cNvPr id="84" name="Imagem 83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xmlns="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BEBA8EAE-BF5A-486C-A8C5-ECC9F3942E4B}">
              <a14:imgProps xmlns:a14="http://schemas.microsoft.com/office/drawing/2010/main">
                <a14:imgLayer r:embed="rId28">
                  <a14:imgEffect>
                    <a14:colorTemperature colorTemp="625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01264" y="7444785"/>
          <a:ext cx="548786" cy="549096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13</xdr:col>
      <xdr:colOff>1038131</xdr:colOff>
      <xdr:row>3</xdr:row>
      <xdr:rowOff>66675</xdr:rowOff>
    </xdr:from>
    <xdr:to>
      <xdr:col>14</xdr:col>
      <xdr:colOff>3386</xdr:colOff>
      <xdr:row>4</xdr:row>
      <xdr:rowOff>291921</xdr:rowOff>
    </xdr:to>
    <xdr:pic>
      <xdr:nvPicPr>
        <xdr:cNvPr id="85" name="Imagem 84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xmlns="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BEBA8EAE-BF5A-486C-A8C5-ECC9F3942E4B}">
              <a14:imgProps xmlns:a14="http://schemas.microsoft.com/office/drawing/2010/main">
                <a14:imgLayer r:embed="rId28">
                  <a14:imgEffect>
                    <a14:colorTemperature colorTemp="625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9681" y="1628775"/>
          <a:ext cx="546405" cy="549096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13</xdr:col>
      <xdr:colOff>1035750</xdr:colOff>
      <xdr:row>7</xdr:row>
      <xdr:rowOff>70247</xdr:rowOff>
    </xdr:from>
    <xdr:to>
      <xdr:col>14</xdr:col>
      <xdr:colOff>3386</xdr:colOff>
      <xdr:row>8</xdr:row>
      <xdr:rowOff>295493</xdr:rowOff>
    </xdr:to>
    <xdr:pic>
      <xdr:nvPicPr>
        <xdr:cNvPr id="86" name="Imagem 85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xmlns="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BEBA8EAE-BF5A-486C-A8C5-ECC9F3942E4B}">
              <a14:imgProps xmlns:a14="http://schemas.microsoft.com/office/drawing/2010/main">
                <a14:imgLayer r:embed="rId28">
                  <a14:imgEffect>
                    <a14:colorTemperature colorTemp="625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7300" y="2794397"/>
          <a:ext cx="548786" cy="549096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13</xdr:col>
      <xdr:colOff>1032386</xdr:colOff>
      <xdr:row>11</xdr:row>
      <xdr:rowOff>68177</xdr:rowOff>
    </xdr:from>
    <xdr:to>
      <xdr:col>14</xdr:col>
      <xdr:colOff>22</xdr:colOff>
      <xdr:row>12</xdr:row>
      <xdr:rowOff>293423</xdr:rowOff>
    </xdr:to>
    <xdr:pic>
      <xdr:nvPicPr>
        <xdr:cNvPr id="87" name="Imagem 86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xmlns="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BEBA8EAE-BF5A-486C-A8C5-ECC9F3942E4B}">
              <a14:imgProps xmlns:a14="http://schemas.microsoft.com/office/drawing/2010/main">
                <a14:imgLayer r:embed="rId28">
                  <a14:imgEffect>
                    <a14:colorTemperature colorTemp="625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3936" y="3954377"/>
          <a:ext cx="548786" cy="549096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13</xdr:col>
      <xdr:colOff>1035699</xdr:colOff>
      <xdr:row>15</xdr:row>
      <xdr:rowOff>63209</xdr:rowOff>
    </xdr:from>
    <xdr:to>
      <xdr:col>14</xdr:col>
      <xdr:colOff>2506</xdr:colOff>
      <xdr:row>16</xdr:row>
      <xdr:rowOff>288456</xdr:rowOff>
    </xdr:to>
    <xdr:pic>
      <xdr:nvPicPr>
        <xdr:cNvPr id="88" name="Imagem 87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xmlns="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BEBA8EAE-BF5A-486C-A8C5-ECC9F3942E4B}">
              <a14:imgProps xmlns:a14="http://schemas.microsoft.com/office/drawing/2010/main">
                <a14:imgLayer r:embed="rId28">
                  <a14:imgEffect>
                    <a14:colorTemperature colorTemp="625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7249" y="5111459"/>
          <a:ext cx="547957" cy="549097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13</xdr:col>
      <xdr:colOff>1028700</xdr:colOff>
      <xdr:row>19</xdr:row>
      <xdr:rowOff>72436</xdr:rowOff>
    </xdr:from>
    <xdr:to>
      <xdr:col>14</xdr:col>
      <xdr:colOff>1531</xdr:colOff>
      <xdr:row>20</xdr:row>
      <xdr:rowOff>297682</xdr:rowOff>
    </xdr:to>
    <xdr:pic>
      <xdr:nvPicPr>
        <xdr:cNvPr id="92" name="Imagem 91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xmlns="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BEBA8EAE-BF5A-486C-A8C5-ECC9F3942E4B}">
              <a14:imgProps xmlns:a14="http://schemas.microsoft.com/office/drawing/2010/main">
                <a14:imgLayer r:embed="rId28">
                  <a14:imgEffect>
                    <a14:colorTemperature colorTemp="625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0" y="6282736"/>
          <a:ext cx="548786" cy="549096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13</xdr:col>
      <xdr:colOff>1028704</xdr:colOff>
      <xdr:row>23</xdr:row>
      <xdr:rowOff>72435</xdr:rowOff>
    </xdr:from>
    <xdr:to>
      <xdr:col>14</xdr:col>
      <xdr:colOff>1535</xdr:colOff>
      <xdr:row>24</xdr:row>
      <xdr:rowOff>297681</xdr:rowOff>
    </xdr:to>
    <xdr:pic>
      <xdr:nvPicPr>
        <xdr:cNvPr id="93" name="Imagem 92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xmlns="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BEBA8EAE-BF5A-486C-A8C5-ECC9F3942E4B}">
              <a14:imgProps xmlns:a14="http://schemas.microsoft.com/office/drawing/2010/main">
                <a14:imgLayer r:embed="rId28">
                  <a14:imgEffect>
                    <a14:colorTemperature colorTemp="625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4" y="7444785"/>
          <a:ext cx="548786" cy="549096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7</xdr:col>
      <xdr:colOff>1026867</xdr:colOff>
      <xdr:row>7</xdr:row>
      <xdr:rowOff>62142</xdr:rowOff>
    </xdr:from>
    <xdr:to>
      <xdr:col>7</xdr:col>
      <xdr:colOff>1568077</xdr:colOff>
      <xdr:row>8</xdr:row>
      <xdr:rowOff>287388</xdr:rowOff>
    </xdr:to>
    <xdr:pic>
      <xdr:nvPicPr>
        <xdr:cNvPr id="94" name="Imagem 93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xmlns="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BEBA8EAE-BF5A-486C-A8C5-ECC9F3942E4B}">
              <a14:imgProps xmlns:a14="http://schemas.microsoft.com/office/drawing/2010/main">
                <a14:imgLayer r:embed="rId28">
                  <a14:imgEffect>
                    <a14:colorTemperature colorTemp="625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5043" y="2785171"/>
          <a:ext cx="541210" cy="550217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7</xdr:col>
      <xdr:colOff>1030940</xdr:colOff>
      <xdr:row>23</xdr:row>
      <xdr:rowOff>56030</xdr:rowOff>
    </xdr:from>
    <xdr:to>
      <xdr:col>8</xdr:col>
      <xdr:colOff>269</xdr:colOff>
      <xdr:row>24</xdr:row>
      <xdr:rowOff>281275</xdr:rowOff>
    </xdr:to>
    <xdr:pic>
      <xdr:nvPicPr>
        <xdr:cNvPr id="100" name="Imagem 99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xmlns="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BEBA8EAE-BF5A-486C-A8C5-ECC9F3942E4B}">
              <a14:imgProps xmlns:a14="http://schemas.microsoft.com/office/drawing/2010/main">
                <a14:imgLayer r:embed="rId28">
                  <a14:imgEffect>
                    <a14:colorTemperature colorTemp="625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9116" y="7440706"/>
          <a:ext cx="545284" cy="550216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7</xdr:col>
      <xdr:colOff>1030992</xdr:colOff>
      <xdr:row>35</xdr:row>
      <xdr:rowOff>56030</xdr:rowOff>
    </xdr:from>
    <xdr:to>
      <xdr:col>8</xdr:col>
      <xdr:colOff>4651</xdr:colOff>
      <xdr:row>36</xdr:row>
      <xdr:rowOff>281275</xdr:rowOff>
    </xdr:to>
    <xdr:pic>
      <xdr:nvPicPr>
        <xdr:cNvPr id="101" name="Imagem 100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xmlns="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BEBA8EAE-BF5A-486C-A8C5-ECC9F3942E4B}">
              <a14:imgProps xmlns:a14="http://schemas.microsoft.com/office/drawing/2010/main">
                <a14:imgLayer r:embed="rId28">
                  <a14:imgEffect>
                    <a14:colorTemperature colorTemp="625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5892" y="11047880"/>
          <a:ext cx="545284" cy="5490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13</xdr:col>
      <xdr:colOff>1027516</xdr:colOff>
      <xdr:row>35</xdr:row>
      <xdr:rowOff>56030</xdr:rowOff>
    </xdr:from>
    <xdr:to>
      <xdr:col>14</xdr:col>
      <xdr:colOff>6370</xdr:colOff>
      <xdr:row>36</xdr:row>
      <xdr:rowOff>281275</xdr:rowOff>
    </xdr:to>
    <xdr:pic>
      <xdr:nvPicPr>
        <xdr:cNvPr id="103" name="Imagem 102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xmlns="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BEBA8EAE-BF5A-486C-A8C5-ECC9F3942E4B}">
              <a14:imgProps xmlns:a14="http://schemas.microsoft.com/office/drawing/2010/main">
                <a14:imgLayer r:embed="rId28">
                  <a14:imgEffect>
                    <a14:colorTemperature colorTemp="625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39066" y="11047880"/>
          <a:ext cx="550479" cy="5490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19</xdr:col>
      <xdr:colOff>1030941</xdr:colOff>
      <xdr:row>35</xdr:row>
      <xdr:rowOff>57711</xdr:rowOff>
    </xdr:from>
    <xdr:to>
      <xdr:col>20</xdr:col>
      <xdr:colOff>271</xdr:colOff>
      <xdr:row>36</xdr:row>
      <xdr:rowOff>282956</xdr:rowOff>
    </xdr:to>
    <xdr:pic>
      <xdr:nvPicPr>
        <xdr:cNvPr id="104" name="Imagem 103">
          <a:extLst>
            <a:ext uri="{FF2B5EF4-FFF2-40B4-BE49-F238E27FC236}">
              <a16:creationId xmlns:a16="http://schemas.microsoft.com/office/drawing/2014/main" xmlns="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BEBA8EAE-BF5A-486C-A8C5-ECC9F3942E4B}">
              <a14:imgProps xmlns:a14="http://schemas.microsoft.com/office/drawing/2010/main">
                <a14:imgLayer r:embed="rId28">
                  <a14:imgEffect>
                    <a14:colorTemperature colorTemp="625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29141" y="11049561"/>
          <a:ext cx="550480" cy="5490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16</xdr:col>
      <xdr:colOff>1019775</xdr:colOff>
      <xdr:row>35</xdr:row>
      <xdr:rowOff>56031</xdr:rowOff>
    </xdr:from>
    <xdr:to>
      <xdr:col>17</xdr:col>
      <xdr:colOff>2959</xdr:colOff>
      <xdr:row>36</xdr:row>
      <xdr:rowOff>281276</xdr:rowOff>
    </xdr:to>
    <xdr:pic>
      <xdr:nvPicPr>
        <xdr:cNvPr id="61" name="Imagem 60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BEBA8EAE-BF5A-486C-A8C5-ECC9F3942E4B}">
              <a14:imgProps xmlns:a14="http://schemas.microsoft.com/office/drawing/2010/main">
                <a14:imgLayer r:embed="rId28">
                  <a14:imgEffect>
                    <a14:colorTemperature colorTemp="625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74650" y="11047881"/>
          <a:ext cx="554809" cy="5490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15</xdr:col>
      <xdr:colOff>443740</xdr:colOff>
      <xdr:row>18</xdr:row>
      <xdr:rowOff>207816</xdr:rowOff>
    </xdr:from>
    <xdr:to>
      <xdr:col>19</xdr:col>
      <xdr:colOff>1108362</xdr:colOff>
      <xdr:row>32</xdr:row>
      <xdr:rowOff>37095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01013" y="6165271"/>
          <a:ext cx="5981304" cy="402027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absolute">
    <xdr:from>
      <xdr:col>10</xdr:col>
      <xdr:colOff>1019775</xdr:colOff>
      <xdr:row>35</xdr:row>
      <xdr:rowOff>56031</xdr:rowOff>
    </xdr:from>
    <xdr:to>
      <xdr:col>11</xdr:col>
      <xdr:colOff>2959</xdr:colOff>
      <xdr:row>36</xdr:row>
      <xdr:rowOff>281276</xdr:rowOff>
    </xdr:to>
    <xdr:pic>
      <xdr:nvPicPr>
        <xdr:cNvPr id="102" name="Imagem 101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xmlns="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BEBA8EAE-BF5A-486C-A8C5-ECC9F3942E4B}">
              <a14:imgProps xmlns:a14="http://schemas.microsoft.com/office/drawing/2010/main">
                <a14:imgLayer r:embed="rId28">
                  <a14:imgEffect>
                    <a14:colorTemperature colorTemp="625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88000" y="11047881"/>
          <a:ext cx="554809" cy="5490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304798</xdr:colOff>
      <xdr:row>0</xdr:row>
      <xdr:rowOff>57149</xdr:rowOff>
    </xdr:from>
    <xdr:to>
      <xdr:col>32</xdr:col>
      <xdr:colOff>1809749</xdr:colOff>
      <xdr:row>53</xdr:row>
      <xdr:rowOff>228601</xdr:rowOff>
    </xdr:to>
    <xdr:grpSp>
      <xdr:nvGrpSpPr>
        <xdr:cNvPr id="312" name="Grupo 311">
          <a:extLst>
            <a:ext uri="{FF2B5EF4-FFF2-40B4-BE49-F238E27FC236}">
              <a16:creationId xmlns:a16="http://schemas.microsoft.com/office/drawing/2014/main" xmlns="" id="{00000000-0008-0000-0100-000038010000}"/>
            </a:ext>
          </a:extLst>
        </xdr:cNvPr>
        <xdr:cNvGrpSpPr/>
      </xdr:nvGrpSpPr>
      <xdr:grpSpPr>
        <a:xfrm>
          <a:off x="3333748" y="57149"/>
          <a:ext cx="20612101" cy="11468102"/>
          <a:chOff x="404062" y="1209317"/>
          <a:chExt cx="7842250" cy="5449452"/>
        </a:xfrm>
      </xdr:grpSpPr>
      <xdr:sp macro="" textlink="">
        <xdr:nvSpPr>
          <xdr:cNvPr id="317" name="Retângulo 316">
            <a:extLst>
              <a:ext uri="{FF2B5EF4-FFF2-40B4-BE49-F238E27FC236}">
                <a16:creationId xmlns:a16="http://schemas.microsoft.com/office/drawing/2014/main" xmlns="" id="{00000000-0008-0000-0100-00003D010000}"/>
              </a:ext>
            </a:extLst>
          </xdr:cNvPr>
          <xdr:cNvSpPr/>
        </xdr:nvSpPr>
        <xdr:spPr>
          <a:xfrm>
            <a:off x="404062" y="1209317"/>
            <a:ext cx="7842250" cy="5449452"/>
          </a:xfrm>
          <a:prstGeom prst="rect">
            <a:avLst/>
          </a:prstGeom>
          <a:solidFill>
            <a:srgbClr val="E8E8E8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18" name="Retângulo 317">
            <a:extLst>
              <a:ext uri="{FF2B5EF4-FFF2-40B4-BE49-F238E27FC236}">
                <a16:creationId xmlns:a16="http://schemas.microsoft.com/office/drawing/2014/main" xmlns="" id="{00000000-0008-0000-0100-00003E010000}"/>
              </a:ext>
            </a:extLst>
          </xdr:cNvPr>
          <xdr:cNvSpPr/>
        </xdr:nvSpPr>
        <xdr:spPr>
          <a:xfrm>
            <a:off x="1856836" y="1266015"/>
            <a:ext cx="45719" cy="5112000"/>
          </a:xfrm>
          <a:prstGeom prst="rect">
            <a:avLst/>
          </a:prstGeom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19" name="Retângulo 318">
            <a:extLst>
              <a:ext uri="{FF2B5EF4-FFF2-40B4-BE49-F238E27FC236}">
                <a16:creationId xmlns:a16="http://schemas.microsoft.com/office/drawing/2014/main" xmlns="" id="{00000000-0008-0000-0100-00003F010000}"/>
              </a:ext>
            </a:extLst>
          </xdr:cNvPr>
          <xdr:cNvSpPr/>
        </xdr:nvSpPr>
        <xdr:spPr>
          <a:xfrm>
            <a:off x="5093580" y="1258728"/>
            <a:ext cx="45719" cy="5112000"/>
          </a:xfrm>
          <a:prstGeom prst="rect">
            <a:avLst/>
          </a:prstGeom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 editAs="absolute">
    <xdr:from>
      <xdr:col>0</xdr:col>
      <xdr:colOff>0</xdr:colOff>
      <xdr:row>21</xdr:row>
      <xdr:rowOff>150372</xdr:rowOff>
    </xdr:from>
    <xdr:to>
      <xdr:col>2</xdr:col>
      <xdr:colOff>22412</xdr:colOff>
      <xdr:row>27</xdr:row>
      <xdr:rowOff>123203</xdr:rowOff>
    </xdr:to>
    <xdr:sp macro="" textlink="">
      <xdr:nvSpPr>
        <xdr:cNvPr id="19" name="Retângulo 18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SpPr/>
      </xdr:nvSpPr>
      <xdr:spPr>
        <a:xfrm>
          <a:off x="0" y="5351022"/>
          <a:ext cx="3051362" cy="1115831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16118</xdr:colOff>
      <xdr:row>0</xdr:row>
      <xdr:rowOff>3718</xdr:rowOff>
    </xdr:from>
    <xdr:to>
      <xdr:col>1</xdr:col>
      <xdr:colOff>2388577</xdr:colOff>
      <xdr:row>0</xdr:row>
      <xdr:rowOff>1108917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16118" y="3718"/>
          <a:ext cx="2982059" cy="1105199"/>
        </a:xfrm>
        <a:prstGeom prst="rect">
          <a:avLst/>
        </a:prstGeom>
        <a:gradFill flip="none" rotWithShape="1">
          <a:gsLst>
            <a:gs pos="83000">
              <a:schemeClr val="tx2">
                <a:lumMod val="75000"/>
              </a:schemeClr>
            </a:gs>
            <a:gs pos="37000">
              <a:srgbClr val="0F0D24">
                <a:lumMod val="90000"/>
              </a:srgbClr>
            </a:gs>
          </a:gsLst>
          <a:path path="circle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155502</xdr:colOff>
      <xdr:row>0</xdr:row>
      <xdr:rowOff>260850</xdr:rowOff>
    </xdr:from>
    <xdr:to>
      <xdr:col>1</xdr:col>
      <xdr:colOff>2176543</xdr:colOff>
      <xdr:row>0</xdr:row>
      <xdr:rowOff>855342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grayscl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5971" b="71845" l="2865" r="99727"/>
                  </a14:imgEffect>
                  <a14:imgEffect>
                    <a14:brightnessContrast contrast="40000"/>
                  </a14:imgEffect>
                </a14:imgLayer>
              </a14:imgProps>
            </a:ext>
          </a:extLst>
        </a:blip>
        <a:srcRect l="2604" t="25135" r="1215" b="36293"/>
        <a:stretch/>
      </xdr:blipFill>
      <xdr:spPr bwMode="auto">
        <a:xfrm>
          <a:off x="155502" y="260850"/>
          <a:ext cx="2630641" cy="59449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0</xdr:col>
      <xdr:colOff>232233</xdr:colOff>
      <xdr:row>6</xdr:row>
      <xdr:rowOff>130734</xdr:rowOff>
    </xdr:from>
    <xdr:to>
      <xdr:col>2</xdr:col>
      <xdr:colOff>112056</xdr:colOff>
      <xdr:row>10</xdr:row>
      <xdr:rowOff>143936</xdr:rowOff>
    </xdr:to>
    <xdr:grpSp>
      <xdr:nvGrpSpPr>
        <xdr:cNvPr id="4" name="Grup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GrpSpPr>
          <a:grpSpLocks noChangeAspect="1"/>
        </xdr:cNvGrpSpPr>
      </xdr:nvGrpSpPr>
      <xdr:grpSpPr>
        <a:xfrm>
          <a:off x="232233" y="2473884"/>
          <a:ext cx="2908773" cy="775202"/>
          <a:chOff x="198049" y="2463157"/>
          <a:chExt cx="2987590" cy="777688"/>
        </a:xfrm>
      </xdr:grpSpPr>
      <xdr:pic>
        <xdr:nvPicPr>
          <xdr:cNvPr id="5" name="Imagem 4">
            <a:extLst>
              <a:ext uri="{FF2B5EF4-FFF2-40B4-BE49-F238E27FC236}">
                <a16:creationId xmlns:a16="http://schemas.microsoft.com/office/drawing/2014/main" xmlns="" id="{00000000-0008-0000-01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3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8049" y="2540688"/>
            <a:ext cx="607471" cy="596348"/>
          </a:xfrm>
          <a:prstGeom prst="rect">
            <a:avLst/>
          </a:prstGeom>
        </xdr:spPr>
      </xdr:pic>
      <xdr:sp macro="" textlink="">
        <xdr:nvSpPr>
          <xdr:cNvPr id="6" name="CaixaDeTexto 5">
            <a:extLst>
              <a:ext uri="{FF2B5EF4-FFF2-40B4-BE49-F238E27FC236}">
                <a16:creationId xmlns:a16="http://schemas.microsoft.com/office/drawing/2014/main" xmlns="" id="{00000000-0008-0000-0100-000006000000}"/>
              </a:ext>
            </a:extLst>
          </xdr:cNvPr>
          <xdr:cNvSpPr txBox="1"/>
        </xdr:nvSpPr>
        <xdr:spPr>
          <a:xfrm>
            <a:off x="715513" y="2463157"/>
            <a:ext cx="2470126" cy="77768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chemeClr val="bg1">
                    <a:lumMod val="85000"/>
                  </a:schemeClr>
                </a:solidFill>
                <a:effectLst/>
                <a:latin typeface="Century Gothic" pitchFamily="34" charset="0"/>
                <a:ea typeface="+mn-ea"/>
                <a:cs typeface="+mn-cs"/>
              </a:rPr>
              <a:t>Acompanhamento</a:t>
            </a:r>
            <a:r>
              <a:rPr lang="pt-BR" sz="1800" b="1" baseline="0">
                <a:solidFill>
                  <a:schemeClr val="bg1">
                    <a:lumMod val="85000"/>
                  </a:schemeClr>
                </a:solidFill>
                <a:effectLst/>
                <a:latin typeface="Century Gothic" pitchFamily="34" charset="0"/>
                <a:ea typeface="+mn-ea"/>
                <a:cs typeface="+mn-cs"/>
              </a:rPr>
              <a:t> </a:t>
            </a:r>
            <a:r>
              <a:rPr lang="pt-BR" sz="1800" b="1">
                <a:solidFill>
                  <a:schemeClr val="bg1">
                    <a:lumMod val="85000"/>
                  </a:schemeClr>
                </a:solidFill>
                <a:effectLst/>
                <a:latin typeface="Century Gothic" pitchFamily="34" charset="0"/>
                <a:ea typeface="+mn-ea"/>
                <a:cs typeface="+mn-cs"/>
              </a:rPr>
              <a:t>de Inspeção</a:t>
            </a:r>
          </a:p>
        </xdr:txBody>
      </xdr:sp>
    </xdr:grpSp>
    <xdr:clientData/>
  </xdr:twoCellAnchor>
  <xdr:twoCellAnchor editAs="absolute">
    <xdr:from>
      <xdr:col>0</xdr:col>
      <xdr:colOff>253590</xdr:colOff>
      <xdr:row>12</xdr:row>
      <xdr:rowOff>14029</xdr:rowOff>
    </xdr:from>
    <xdr:to>
      <xdr:col>2</xdr:col>
      <xdr:colOff>4906</xdr:colOff>
      <xdr:row>15</xdr:row>
      <xdr:rowOff>133703</xdr:rowOff>
    </xdr:to>
    <xdr:grpSp>
      <xdr:nvGrpSpPr>
        <xdr:cNvPr id="7" name="Grup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GrpSpPr>
          <a:grpSpLocks noChangeAspect="1"/>
        </xdr:cNvGrpSpPr>
      </xdr:nvGrpSpPr>
      <xdr:grpSpPr>
        <a:xfrm>
          <a:off x="253590" y="3500179"/>
          <a:ext cx="2780266" cy="691174"/>
          <a:chOff x="197619" y="3602710"/>
          <a:chExt cx="2779667" cy="694910"/>
        </a:xfrm>
      </xdr:grpSpPr>
      <xdr:pic>
        <xdr:nvPicPr>
          <xdr:cNvPr id="8" name="Imagem 7">
            <a:extLst>
              <a:ext uri="{FF2B5EF4-FFF2-40B4-BE49-F238E27FC236}">
                <a16:creationId xmlns:a16="http://schemas.microsoft.com/office/drawing/2014/main" xmlns="" id="{00000000-0008-0000-01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lum bright="70000" contrast="-70000"/>
            <a:extLst>
              <a:ext uri="{BEBA8EAE-BF5A-486C-A8C5-ECC9F3942E4B}">
                <a14:imgProps xmlns:a14="http://schemas.microsoft.com/office/drawing/2010/main">
                  <a14:imgLayer r:embed="rId8">
                    <a14:imgEffect>
                      <a14:brightnessContrast bright="40000" contrast="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7619" y="3658842"/>
            <a:ext cx="605318" cy="580628"/>
          </a:xfrm>
          <a:prstGeom prst="rect">
            <a:avLst/>
          </a:prstGeom>
        </xdr:spPr>
      </xdr:pic>
      <xdr:sp macro="" textlink="">
        <xdr:nvSpPr>
          <xdr:cNvPr id="9" name="CaixaDeTexto 8">
            <a:extLst>
              <a:ext uri="{FF2B5EF4-FFF2-40B4-BE49-F238E27FC236}">
                <a16:creationId xmlns:a16="http://schemas.microsoft.com/office/drawing/2014/main" xmlns="" id="{00000000-0008-0000-0100-000009000000}"/>
              </a:ext>
            </a:extLst>
          </xdr:cNvPr>
          <xdr:cNvSpPr txBox="1"/>
        </xdr:nvSpPr>
        <xdr:spPr>
          <a:xfrm>
            <a:off x="724462" y="3602710"/>
            <a:ext cx="2252824" cy="6949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chemeClr val="bg1">
                    <a:lumMod val="85000"/>
                  </a:schemeClr>
                </a:solidFill>
                <a:latin typeface="Century Gothic" pitchFamily="34" charset="0"/>
              </a:rPr>
              <a:t>Check-list</a:t>
            </a:r>
          </a:p>
          <a:p>
            <a:pPr algn="ctr"/>
            <a:r>
              <a:rPr lang="pt-BR" sz="1800" b="1">
                <a:solidFill>
                  <a:schemeClr val="bg1">
                    <a:lumMod val="85000"/>
                  </a:schemeClr>
                </a:solidFill>
                <a:latin typeface="Century Gothic" pitchFamily="34" charset="0"/>
              </a:rPr>
              <a:t>Entrada de Molde</a:t>
            </a:r>
          </a:p>
        </xdr:txBody>
      </xdr:sp>
    </xdr:grpSp>
    <xdr:clientData/>
  </xdr:twoCellAnchor>
  <xdr:twoCellAnchor editAs="absolute">
    <xdr:from>
      <xdr:col>0</xdr:col>
      <xdr:colOff>256770</xdr:colOff>
      <xdr:row>17</xdr:row>
      <xdr:rowOff>73275</xdr:rowOff>
    </xdr:from>
    <xdr:to>
      <xdr:col>1</xdr:col>
      <xdr:colOff>2259996</xdr:colOff>
      <xdr:row>21</xdr:row>
      <xdr:rowOff>51295</xdr:rowOff>
    </xdr:to>
    <xdr:grpSp>
      <xdr:nvGrpSpPr>
        <xdr:cNvPr id="10" name="Grupo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GrpSpPr>
          <a:grpSpLocks noChangeAspect="1"/>
        </xdr:cNvGrpSpPr>
      </xdr:nvGrpSpPr>
      <xdr:grpSpPr>
        <a:xfrm>
          <a:off x="256770" y="4511925"/>
          <a:ext cx="2612826" cy="740020"/>
          <a:chOff x="200818" y="4692895"/>
          <a:chExt cx="2622199" cy="740020"/>
        </a:xfrm>
      </xdr:grpSpPr>
      <xdr:pic>
        <xdr:nvPicPr>
          <xdr:cNvPr id="11" name="Imagem 10">
            <a:extLst>
              <a:ext uri="{FF2B5EF4-FFF2-40B4-BE49-F238E27FC236}">
                <a16:creationId xmlns:a16="http://schemas.microsoft.com/office/drawing/2014/main" xmlns="" id="{00000000-0008-0000-01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lum bright="70000" contrast="-7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0818" y="4801754"/>
            <a:ext cx="540924" cy="550563"/>
          </a:xfrm>
          <a:prstGeom prst="rect">
            <a:avLst/>
          </a:prstGeom>
        </xdr:spPr>
      </xdr:pic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xmlns="" id="{00000000-0008-0000-0100-00000C000000}"/>
              </a:ext>
            </a:extLst>
          </xdr:cNvPr>
          <xdr:cNvSpPr txBox="1"/>
        </xdr:nvSpPr>
        <xdr:spPr>
          <a:xfrm>
            <a:off x="748470" y="4692895"/>
            <a:ext cx="2074547" cy="7400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800" b="1">
                <a:solidFill>
                  <a:schemeClr val="bg1">
                    <a:lumMod val="85000"/>
                  </a:schemeClr>
                </a:solidFill>
                <a:effectLst/>
                <a:latin typeface="Century Gothic" pitchFamily="34" charset="0"/>
                <a:ea typeface="+mn-ea"/>
                <a:cs typeface="+mn-cs"/>
              </a:rPr>
              <a:t>Medidas Funcionais</a:t>
            </a:r>
            <a:endParaRPr lang="pt-BR" sz="1800" b="1">
              <a:solidFill>
                <a:schemeClr val="bg1">
                  <a:lumMod val="85000"/>
                </a:schemeClr>
              </a:solidFill>
              <a:effectLst/>
              <a:latin typeface="Century Gothic" pitchFamily="34" charset="0"/>
            </a:endParaRPr>
          </a:p>
        </xdr:txBody>
      </xdr:sp>
    </xdr:grpSp>
    <xdr:clientData/>
  </xdr:twoCellAnchor>
  <xdr:twoCellAnchor editAs="absolute">
    <xdr:from>
      <xdr:col>0</xdr:col>
      <xdr:colOff>242571</xdr:colOff>
      <xdr:row>22</xdr:row>
      <xdr:rowOff>124749</xdr:rowOff>
    </xdr:from>
    <xdr:to>
      <xdr:col>1</xdr:col>
      <xdr:colOff>2154117</xdr:colOff>
      <xdr:row>26</xdr:row>
      <xdr:rowOff>115371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GrpSpPr>
          <a:grpSpLocks noChangeAspect="1"/>
        </xdr:cNvGrpSpPr>
      </xdr:nvGrpSpPr>
      <xdr:grpSpPr>
        <a:xfrm>
          <a:off x="242571" y="5515899"/>
          <a:ext cx="2521146" cy="752622"/>
          <a:chOff x="149211" y="5851147"/>
          <a:chExt cx="2530551" cy="752621"/>
        </a:xfrm>
      </xdr:grpSpPr>
      <xdr:pic>
        <xdr:nvPicPr>
          <xdr:cNvPr id="14" name="Imagem 13">
            <a:extLst>
              <a:ext uri="{FF2B5EF4-FFF2-40B4-BE49-F238E27FC236}">
                <a16:creationId xmlns:a16="http://schemas.microsoft.com/office/drawing/2014/main" xmlns="" id="{00000000-0008-0000-01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BEBA8EAE-BF5A-486C-A8C5-ECC9F3942E4B}">
                <a14:imgProps xmlns:a14="http://schemas.microsoft.com/office/drawing/2010/main">
                  <a14:imgLayer r:embed="rId12">
                    <a14:imgEffect>
                      <a14:sharpenSoften amount="100000"/>
                    </a14:imgEffect>
                    <a14:imgEffect>
                      <a14:colorTemperature colorTemp="11500"/>
                    </a14:imgEffect>
                    <a14:imgEffect>
                      <a14:brightnessContrast bright="-40000" contras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9211" y="5982430"/>
            <a:ext cx="601813" cy="569929"/>
          </a:xfrm>
          <a:prstGeom prst="rect">
            <a:avLst/>
          </a:prstGeom>
          <a:scene3d>
            <a:camera prst="orthographicFront"/>
            <a:lightRig rig="threePt" dir="t"/>
          </a:scene3d>
          <a:sp3d prstMaterial="matte"/>
        </xdr:spPr>
      </xdr:pic>
      <xdr:sp macro="" textlink="">
        <xdr:nvSpPr>
          <xdr:cNvPr id="15" name="CaixaDeTexto 14">
            <a:extLst>
              <a:ext uri="{FF2B5EF4-FFF2-40B4-BE49-F238E27FC236}">
                <a16:creationId xmlns:a16="http://schemas.microsoft.com/office/drawing/2014/main" xmlns="" id="{00000000-0008-0000-0100-00000F000000}"/>
              </a:ext>
            </a:extLst>
          </xdr:cNvPr>
          <xdr:cNvSpPr txBox="1"/>
        </xdr:nvSpPr>
        <xdr:spPr>
          <a:xfrm>
            <a:off x="721650" y="5851147"/>
            <a:ext cx="1958112" cy="7526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rgbClr val="0F0D24"/>
                </a:solidFill>
                <a:latin typeface="Century Gothic" pitchFamily="34" charset="0"/>
              </a:rPr>
              <a:t>Desenhos Técnicos</a:t>
            </a:r>
          </a:p>
        </xdr:txBody>
      </xdr:sp>
    </xdr:grpSp>
    <xdr:clientData/>
  </xdr:twoCellAnchor>
  <xdr:twoCellAnchor editAs="absolute">
    <xdr:from>
      <xdr:col>0</xdr:col>
      <xdr:colOff>274608</xdr:colOff>
      <xdr:row>33</xdr:row>
      <xdr:rowOff>143011</xdr:rowOff>
    </xdr:from>
    <xdr:to>
      <xdr:col>1</xdr:col>
      <xdr:colOff>2220314</xdr:colOff>
      <xdr:row>36</xdr:row>
      <xdr:rowOff>139924</xdr:rowOff>
    </xdr:to>
    <xdr:grpSp>
      <xdr:nvGrpSpPr>
        <xdr:cNvPr id="16" name="Grup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GrpSpPr>
          <a:grpSpLocks noChangeAspect="1"/>
        </xdr:cNvGrpSpPr>
      </xdr:nvGrpSpPr>
      <xdr:grpSpPr>
        <a:xfrm>
          <a:off x="274608" y="7629661"/>
          <a:ext cx="2555306" cy="568413"/>
          <a:chOff x="256163" y="7145765"/>
          <a:chExt cx="2566606" cy="568414"/>
        </a:xfrm>
      </xdr:grpSpPr>
      <xdr:pic>
        <xdr:nvPicPr>
          <xdr:cNvPr id="17" name="Imagem 16">
            <a:extLst>
              <a:ext uri="{FF2B5EF4-FFF2-40B4-BE49-F238E27FC236}">
                <a16:creationId xmlns:a16="http://schemas.microsoft.com/office/drawing/2014/main" xmlns="" id="{00000000-0008-0000-0100-00001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lum bright="70000" contrast="-70000"/>
            <a:extLst>
              <a:ext uri="{BEBA8EAE-BF5A-486C-A8C5-ECC9F3942E4B}">
                <a14:imgProps xmlns:a14="http://schemas.microsoft.com/office/drawing/2010/main">
                  <a14:imgLayer r:embed="rId15">
                    <a14:imgEffect>
                      <a14:brightnessContrast bright="40000" contrast="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6163" y="7145765"/>
            <a:ext cx="576752" cy="568414"/>
          </a:xfrm>
          <a:prstGeom prst="rect">
            <a:avLst/>
          </a:prstGeom>
        </xdr:spPr>
      </xdr:pic>
      <xdr:sp macro="" textlink="">
        <xdr:nvSpPr>
          <xdr:cNvPr id="18" name="CaixaDeTexto 17">
            <a:extLst>
              <a:ext uri="{FF2B5EF4-FFF2-40B4-BE49-F238E27FC236}">
                <a16:creationId xmlns:a16="http://schemas.microsoft.com/office/drawing/2014/main" xmlns="" id="{00000000-0008-0000-0100-000012000000}"/>
              </a:ext>
            </a:extLst>
          </xdr:cNvPr>
          <xdr:cNvSpPr txBox="1"/>
        </xdr:nvSpPr>
        <xdr:spPr>
          <a:xfrm>
            <a:off x="698236" y="7290687"/>
            <a:ext cx="2124533" cy="23526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chemeClr val="bg1">
                    <a:lumMod val="85000"/>
                  </a:schemeClr>
                </a:solidFill>
                <a:latin typeface="Century Gothic" pitchFamily="34" charset="0"/>
              </a:rPr>
              <a:t>Estudos</a:t>
            </a:r>
          </a:p>
        </xdr:txBody>
      </xdr:sp>
    </xdr:grpSp>
    <xdr:clientData/>
  </xdr:twoCellAnchor>
  <xdr:twoCellAnchor editAs="absolute">
    <xdr:from>
      <xdr:col>0</xdr:col>
      <xdr:colOff>246903</xdr:colOff>
      <xdr:row>2</xdr:row>
      <xdr:rowOff>88010</xdr:rowOff>
    </xdr:from>
    <xdr:to>
      <xdr:col>1</xdr:col>
      <xdr:colOff>2262090</xdr:colOff>
      <xdr:row>4</xdr:row>
      <xdr:rowOff>140968</xdr:rowOff>
    </xdr:to>
    <xdr:grpSp>
      <xdr:nvGrpSpPr>
        <xdr:cNvPr id="20" name="Grupo 1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GrpSpPr>
          <a:grpSpLocks noChangeAspect="1"/>
        </xdr:cNvGrpSpPr>
      </xdr:nvGrpSpPr>
      <xdr:grpSpPr>
        <a:xfrm>
          <a:off x="246903" y="1402460"/>
          <a:ext cx="2624787" cy="700658"/>
          <a:chOff x="246903" y="1397698"/>
          <a:chExt cx="2634312" cy="695895"/>
        </a:xfrm>
      </xdr:grpSpPr>
      <xdr:sp macro="" textlink="">
        <xdr:nvSpPr>
          <xdr:cNvPr id="21" name="CaixaDeTexto 20">
            <a:extLst>
              <a:ext uri="{FF2B5EF4-FFF2-40B4-BE49-F238E27FC236}">
                <a16:creationId xmlns:a16="http://schemas.microsoft.com/office/drawing/2014/main" xmlns="" id="{00000000-0008-0000-0100-000015000000}"/>
              </a:ext>
            </a:extLst>
          </xdr:cNvPr>
          <xdr:cNvSpPr txBox="1"/>
        </xdr:nvSpPr>
        <xdr:spPr>
          <a:xfrm>
            <a:off x="656798" y="1478117"/>
            <a:ext cx="2224417" cy="6154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chemeClr val="bg1">
                    <a:lumMod val="95000"/>
                  </a:schemeClr>
                </a:solidFill>
                <a:latin typeface="Century Gothic" pitchFamily="34" charset="0"/>
              </a:rPr>
              <a:t>HOME</a:t>
            </a:r>
          </a:p>
        </xdr:txBody>
      </xdr:sp>
      <xdr:pic>
        <xdr:nvPicPr>
          <xdr:cNvPr id="22" name="Imagem 21">
            <a:extLst>
              <a:ext uri="{FF2B5EF4-FFF2-40B4-BE49-F238E27FC236}">
                <a16:creationId xmlns:a16="http://schemas.microsoft.com/office/drawing/2014/main" xmlns="" id="{00000000-0008-0000-01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lum bright="70000" contrast="-7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6903" y="1397698"/>
            <a:ext cx="647360" cy="654059"/>
          </a:xfrm>
          <a:prstGeom prst="rect">
            <a:avLst/>
          </a:prstGeom>
          <a:noFill/>
        </xdr:spPr>
      </xdr:pic>
    </xdr:grpSp>
    <xdr:clientData/>
  </xdr:twoCellAnchor>
  <xdr:twoCellAnchor editAs="absolute">
    <xdr:from>
      <xdr:col>0</xdr:col>
      <xdr:colOff>289403</xdr:colOff>
      <xdr:row>50</xdr:row>
      <xdr:rowOff>74708</xdr:rowOff>
    </xdr:from>
    <xdr:to>
      <xdr:col>1</xdr:col>
      <xdr:colOff>2281877</xdr:colOff>
      <xdr:row>53</xdr:row>
      <xdr:rowOff>186773</xdr:rowOff>
    </xdr:to>
    <xdr:grpSp>
      <xdr:nvGrpSpPr>
        <xdr:cNvPr id="23" name="Grupo 2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GrpSpPr>
          <a:grpSpLocks noChangeAspect="1"/>
        </xdr:cNvGrpSpPr>
      </xdr:nvGrpSpPr>
      <xdr:grpSpPr>
        <a:xfrm>
          <a:off x="289403" y="10799858"/>
          <a:ext cx="2602074" cy="683565"/>
          <a:chOff x="196023" y="10608237"/>
          <a:chExt cx="2608798" cy="672360"/>
        </a:xfrm>
      </xdr:grpSpPr>
      <xdr:pic>
        <xdr:nvPicPr>
          <xdr:cNvPr id="24" name="Imagem 23">
            <a:extLst>
              <a:ext uri="{FF2B5EF4-FFF2-40B4-BE49-F238E27FC236}">
                <a16:creationId xmlns:a16="http://schemas.microsoft.com/office/drawing/2014/main" xmlns="" id="{00000000-0008-0000-0100-00001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BEBA8EAE-BF5A-486C-A8C5-ECC9F3942E4B}">
                <a14:imgProps xmlns:a14="http://schemas.microsoft.com/office/drawing/2010/main">
                  <a14:imgLayer r:embed="rId20">
                    <a14:imgEffect>
                      <a14:sharpenSoften amount="-30000"/>
                    </a14:imgEffect>
                    <a14:imgEffect>
                      <a14:colorTemperature colorTemp="4500"/>
                    </a14:imgEffect>
                    <a14:imgEffect>
                      <a14:saturation sat="60000"/>
                    </a14:imgEffect>
                    <a14:imgEffect>
                      <a14:brightnessContrast bright="100000" contrast="-7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023" y="10660860"/>
            <a:ext cx="557208" cy="557208"/>
          </a:xfrm>
          <a:prstGeom prst="rect">
            <a:avLst/>
          </a:prstGeom>
          <a:effectLst>
            <a:glow>
              <a:schemeClr val="accent1">
                <a:alpha val="40000"/>
              </a:schemeClr>
            </a:glow>
            <a:softEdge rad="0"/>
          </a:effectLst>
        </xdr:spPr>
      </xdr:pic>
      <xdr:sp macro="" textlink="">
        <xdr:nvSpPr>
          <xdr:cNvPr id="25" name="CaixaDeTexto 24">
            <a:extLst>
              <a:ext uri="{FF2B5EF4-FFF2-40B4-BE49-F238E27FC236}">
                <a16:creationId xmlns:a16="http://schemas.microsoft.com/office/drawing/2014/main" xmlns="" id="{00000000-0008-0000-0100-000019000000}"/>
              </a:ext>
            </a:extLst>
          </xdr:cNvPr>
          <xdr:cNvSpPr txBox="1"/>
        </xdr:nvSpPr>
        <xdr:spPr>
          <a:xfrm>
            <a:off x="684074" y="10608237"/>
            <a:ext cx="2120747" cy="6723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chemeClr val="bg1">
                    <a:lumMod val="85000"/>
                  </a:schemeClr>
                </a:solidFill>
                <a:latin typeface="Century Gothic" pitchFamily="34" charset="0"/>
              </a:rPr>
              <a:t>CONSULTA</a:t>
            </a:r>
          </a:p>
          <a:p>
            <a:pPr algn="ctr"/>
            <a:r>
              <a:rPr lang="pt-BR" sz="1800" b="1">
                <a:solidFill>
                  <a:schemeClr val="bg1">
                    <a:lumMod val="85000"/>
                  </a:schemeClr>
                </a:solidFill>
                <a:latin typeface="Century Gothic" pitchFamily="34" charset="0"/>
              </a:rPr>
              <a:t>IT 7.5.1-17 </a:t>
            </a:r>
          </a:p>
        </xdr:txBody>
      </xdr:sp>
    </xdr:grpSp>
    <xdr:clientData/>
  </xdr:twoCellAnchor>
  <xdr:twoCellAnchor editAs="absolute">
    <xdr:from>
      <xdr:col>0</xdr:col>
      <xdr:colOff>268182</xdr:colOff>
      <xdr:row>27</xdr:row>
      <xdr:rowOff>168125</xdr:rowOff>
    </xdr:from>
    <xdr:to>
      <xdr:col>1</xdr:col>
      <xdr:colOff>2223304</xdr:colOff>
      <xdr:row>32</xdr:row>
      <xdr:rowOff>18721</xdr:rowOff>
    </xdr:to>
    <xdr:grpSp>
      <xdr:nvGrpSpPr>
        <xdr:cNvPr id="26" name="Grupo 25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GrpSpPr>
          <a:grpSpLocks noChangeAspect="1"/>
        </xdr:cNvGrpSpPr>
      </xdr:nvGrpSpPr>
      <xdr:grpSpPr>
        <a:xfrm>
          <a:off x="268182" y="6511775"/>
          <a:ext cx="2564722" cy="803096"/>
          <a:chOff x="209311" y="7034936"/>
          <a:chExt cx="2576038" cy="800195"/>
        </a:xfrm>
      </xdr:grpSpPr>
      <xdr:pic>
        <xdr:nvPicPr>
          <xdr:cNvPr id="27" name="Imagem 26">
            <a:extLst>
              <a:ext uri="{FF2B5EF4-FFF2-40B4-BE49-F238E27FC236}">
                <a16:creationId xmlns:a16="http://schemas.microsoft.com/office/drawing/2014/main" xmlns="" id="{00000000-0008-0000-01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 cstate="print">
            <a:lum bright="70000" contrast="-7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9311" y="7145765"/>
            <a:ext cx="558203" cy="568414"/>
          </a:xfrm>
          <a:prstGeom prst="rect">
            <a:avLst/>
          </a:prstGeom>
        </xdr:spPr>
      </xdr:pic>
      <xdr:sp macro="" textlink="">
        <xdr:nvSpPr>
          <xdr:cNvPr id="28" name="CaixaDeTexto 27">
            <a:extLst>
              <a:ext uri="{FF2B5EF4-FFF2-40B4-BE49-F238E27FC236}">
                <a16:creationId xmlns:a16="http://schemas.microsoft.com/office/drawing/2014/main" xmlns="" id="{00000000-0008-0000-0100-00001C000000}"/>
              </a:ext>
            </a:extLst>
          </xdr:cNvPr>
          <xdr:cNvSpPr txBox="1"/>
        </xdr:nvSpPr>
        <xdr:spPr>
          <a:xfrm>
            <a:off x="660816" y="7034936"/>
            <a:ext cx="2124533" cy="8001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 baseline="0">
                <a:solidFill>
                  <a:schemeClr val="bg1">
                    <a:lumMod val="85000"/>
                  </a:schemeClr>
                </a:solidFill>
                <a:latin typeface="Century Gothic" pitchFamily="34" charset="0"/>
              </a:rPr>
              <a:t>Ficha Técnica</a:t>
            </a:r>
          </a:p>
          <a:p>
            <a:pPr algn="ctr"/>
            <a:r>
              <a:rPr lang="pt-BR" sz="1800" b="1" baseline="0">
                <a:solidFill>
                  <a:schemeClr val="bg1">
                    <a:lumMod val="85000"/>
                  </a:schemeClr>
                </a:solidFill>
                <a:latin typeface="Century Gothic" pitchFamily="34" charset="0"/>
              </a:rPr>
              <a:t>PoLimeros</a:t>
            </a:r>
            <a:endParaRPr lang="pt-BR" sz="1800" b="1">
              <a:solidFill>
                <a:schemeClr val="bg1">
                  <a:lumMod val="85000"/>
                </a:schemeClr>
              </a:solidFill>
              <a:latin typeface="Century Gothic" pitchFamily="34" charset="0"/>
            </a:endParaRPr>
          </a:p>
        </xdr:txBody>
      </xdr:sp>
    </xdr:grpSp>
    <xdr:clientData/>
  </xdr:twoCellAnchor>
  <xdr:twoCellAnchor editAs="absolute">
    <xdr:from>
      <xdr:col>0</xdr:col>
      <xdr:colOff>280319</xdr:colOff>
      <xdr:row>38</xdr:row>
      <xdr:rowOff>131059</xdr:rowOff>
    </xdr:from>
    <xdr:to>
      <xdr:col>1</xdr:col>
      <xdr:colOff>2223629</xdr:colOff>
      <xdr:row>41</xdr:row>
      <xdr:rowOff>127973</xdr:rowOff>
    </xdr:to>
    <xdr:grpSp>
      <xdr:nvGrpSpPr>
        <xdr:cNvPr id="40" name="Grupo 39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00000000-0008-0000-0100-000028000000}"/>
            </a:ext>
          </a:extLst>
        </xdr:cNvPr>
        <xdr:cNvGrpSpPr>
          <a:grpSpLocks noChangeAspect="1"/>
        </xdr:cNvGrpSpPr>
      </xdr:nvGrpSpPr>
      <xdr:grpSpPr>
        <a:xfrm>
          <a:off x="280319" y="8570209"/>
          <a:ext cx="2552910" cy="568414"/>
          <a:chOff x="258574" y="7168177"/>
          <a:chExt cx="2564195" cy="568414"/>
        </a:xfrm>
      </xdr:grpSpPr>
      <xdr:pic>
        <xdr:nvPicPr>
          <xdr:cNvPr id="41" name="Imagem 40">
            <a:extLst>
              <a:ext uri="{FF2B5EF4-FFF2-40B4-BE49-F238E27FC236}">
                <a16:creationId xmlns:a16="http://schemas.microsoft.com/office/drawing/2014/main" xmlns="" id="{00000000-0008-0000-0100-00002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lum bright="70000" contrast="-7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8574" y="7168177"/>
            <a:ext cx="571931" cy="568414"/>
          </a:xfrm>
          <a:prstGeom prst="rect">
            <a:avLst/>
          </a:prstGeom>
        </xdr:spPr>
      </xdr:pic>
      <xdr:sp macro="" textlink="">
        <xdr:nvSpPr>
          <xdr:cNvPr id="42" name="CaixaDeTexto 41">
            <a:extLst>
              <a:ext uri="{FF2B5EF4-FFF2-40B4-BE49-F238E27FC236}">
                <a16:creationId xmlns:a16="http://schemas.microsoft.com/office/drawing/2014/main" xmlns="" id="{00000000-0008-0000-0100-00002A000000}"/>
              </a:ext>
            </a:extLst>
          </xdr:cNvPr>
          <xdr:cNvSpPr txBox="1"/>
        </xdr:nvSpPr>
        <xdr:spPr>
          <a:xfrm>
            <a:off x="698236" y="7357362"/>
            <a:ext cx="2124533" cy="23526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chemeClr val="bg1">
                    <a:lumMod val="95000"/>
                  </a:schemeClr>
                </a:solidFill>
                <a:latin typeface="Century Gothic" pitchFamily="34" charset="0"/>
              </a:rPr>
              <a:t>Kanban</a:t>
            </a:r>
          </a:p>
        </xdr:txBody>
      </xdr:sp>
    </xdr:grpSp>
    <xdr:clientData/>
  </xdr:twoCellAnchor>
  <xdr:twoCellAnchor>
    <xdr:from>
      <xdr:col>2</xdr:col>
      <xdr:colOff>441613</xdr:colOff>
      <xdr:row>0</xdr:row>
      <xdr:rowOff>256309</xdr:rowOff>
    </xdr:from>
    <xdr:to>
      <xdr:col>7</xdr:col>
      <xdr:colOff>339204</xdr:colOff>
      <xdr:row>0</xdr:row>
      <xdr:rowOff>976309</xdr:rowOff>
    </xdr:to>
    <xdr:grpSp>
      <xdr:nvGrpSpPr>
        <xdr:cNvPr id="145" name="Grupo 144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xmlns="" id="{00000000-0008-0000-0100-000091000000}"/>
            </a:ext>
          </a:extLst>
        </xdr:cNvPr>
        <xdr:cNvGrpSpPr/>
      </xdr:nvGrpSpPr>
      <xdr:grpSpPr>
        <a:xfrm>
          <a:off x="3470563" y="256309"/>
          <a:ext cx="3250391" cy="720000"/>
          <a:chOff x="1164167" y="3323151"/>
          <a:chExt cx="3005656" cy="275183"/>
        </a:xfrm>
      </xdr:grpSpPr>
      <xdr:sp macro="" textlink="">
        <xdr:nvSpPr>
          <xdr:cNvPr id="146" name="Retângulo de cantos arredondados 145">
            <a:extLst>
              <a:ext uri="{FF2B5EF4-FFF2-40B4-BE49-F238E27FC236}">
                <a16:creationId xmlns:a16="http://schemas.microsoft.com/office/drawing/2014/main" xmlns="" id="{00000000-0008-0000-0100-00009200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 b="1">
                <a:solidFill>
                  <a:schemeClr val="tx1"/>
                </a:solidFill>
              </a:rPr>
              <a:t>ESFEROGRÁFICAS</a:t>
            </a:r>
            <a:endParaRPr lang="pt-BR" sz="900" b="1">
              <a:solidFill>
                <a:schemeClr val="tx1"/>
              </a:solidFill>
            </a:endParaRPr>
          </a:p>
        </xdr:txBody>
      </xdr:sp>
      <xdr:sp macro="" textlink="">
        <xdr:nvSpPr>
          <xdr:cNvPr id="147" name="Fluxograma: Dados armazenados 146">
            <a:extLst>
              <a:ext uri="{FF2B5EF4-FFF2-40B4-BE49-F238E27FC236}">
                <a16:creationId xmlns:a16="http://schemas.microsoft.com/office/drawing/2014/main" xmlns="" id="{00000000-0008-0000-0100-00009300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chemeClr val="accent1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8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148" name="Fluxograma: Dados armazenados 147">
            <a:extLst>
              <a:ext uri="{FF2B5EF4-FFF2-40B4-BE49-F238E27FC236}">
                <a16:creationId xmlns:a16="http://schemas.microsoft.com/office/drawing/2014/main" xmlns="" id="{00000000-0008-0000-0100-00009400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chemeClr val="accent1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7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2</xdr:col>
      <xdr:colOff>677951</xdr:colOff>
      <xdr:row>1</xdr:row>
      <xdr:rowOff>109103</xdr:rowOff>
    </xdr:from>
    <xdr:to>
      <xdr:col>7</xdr:col>
      <xdr:colOff>102867</xdr:colOff>
      <xdr:row>3</xdr:row>
      <xdr:rowOff>268103</xdr:rowOff>
    </xdr:to>
    <xdr:grpSp>
      <xdr:nvGrpSpPr>
        <xdr:cNvPr id="149" name="Grupo 148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xmlns="" id="{00000000-0008-0000-0100-000095000000}"/>
            </a:ext>
          </a:extLst>
        </xdr:cNvPr>
        <xdr:cNvGrpSpPr/>
      </xdr:nvGrpSpPr>
      <xdr:grpSpPr>
        <a:xfrm>
          <a:off x="3706901" y="1233053"/>
          <a:ext cx="2777716" cy="540000"/>
          <a:chOff x="1164167" y="3323151"/>
          <a:chExt cx="3005656" cy="275183"/>
        </a:xfrm>
      </xdr:grpSpPr>
      <xdr:sp macro="" textlink="">
        <xdr:nvSpPr>
          <xdr:cNvPr id="150" name="Retângulo de cantos arredondados 149">
            <a:extLst>
              <a:ext uri="{FF2B5EF4-FFF2-40B4-BE49-F238E27FC236}">
                <a16:creationId xmlns:a16="http://schemas.microsoft.com/office/drawing/2014/main" xmlns="" id="{00000000-0008-0000-0100-00009600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COMP. COMUNS</a:t>
            </a:r>
          </a:p>
          <a:p>
            <a:pPr algn="ctr"/>
            <a:r>
              <a:rPr lang="pt-BR" sz="1600" b="1">
                <a:solidFill>
                  <a:schemeClr val="tx1"/>
                </a:solidFill>
              </a:rPr>
              <a:t>DE ESF.</a:t>
            </a:r>
          </a:p>
        </xdr:txBody>
      </xdr:sp>
      <xdr:sp macro="" textlink="">
        <xdr:nvSpPr>
          <xdr:cNvPr id="151" name="Fluxograma: Dados armazenados 150">
            <a:extLst>
              <a:ext uri="{FF2B5EF4-FFF2-40B4-BE49-F238E27FC236}">
                <a16:creationId xmlns:a16="http://schemas.microsoft.com/office/drawing/2014/main" xmlns="" id="{00000000-0008-0000-0100-00009700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chemeClr val="accent1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8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152" name="Fluxograma: Dados armazenados 151">
            <a:extLst>
              <a:ext uri="{FF2B5EF4-FFF2-40B4-BE49-F238E27FC236}">
                <a16:creationId xmlns:a16="http://schemas.microsoft.com/office/drawing/2014/main" xmlns="" id="{00000000-0008-0000-0100-00009800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chemeClr val="accent1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7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2</xdr:col>
      <xdr:colOff>677951</xdr:colOff>
      <xdr:row>4</xdr:row>
      <xdr:rowOff>82566</xdr:rowOff>
    </xdr:from>
    <xdr:to>
      <xdr:col>7</xdr:col>
      <xdr:colOff>102867</xdr:colOff>
      <xdr:row>7</xdr:row>
      <xdr:rowOff>51066</xdr:rowOff>
    </xdr:to>
    <xdr:grpSp>
      <xdr:nvGrpSpPr>
        <xdr:cNvPr id="153" name="Grupo 152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xmlns="" id="{00000000-0008-0000-0100-000099000000}"/>
            </a:ext>
          </a:extLst>
        </xdr:cNvPr>
        <xdr:cNvGrpSpPr/>
      </xdr:nvGrpSpPr>
      <xdr:grpSpPr>
        <a:xfrm>
          <a:off x="3706901" y="2044716"/>
          <a:ext cx="2777716" cy="540000"/>
          <a:chOff x="1164167" y="3323151"/>
          <a:chExt cx="3005656" cy="275183"/>
        </a:xfrm>
      </xdr:grpSpPr>
      <xdr:sp macro="" textlink="">
        <xdr:nvSpPr>
          <xdr:cNvPr id="154" name="Retângulo de cantos arredondados 153">
            <a:extLst>
              <a:ext uri="{FF2B5EF4-FFF2-40B4-BE49-F238E27FC236}">
                <a16:creationId xmlns:a16="http://schemas.microsoft.com/office/drawing/2014/main" xmlns="" id="{00000000-0008-0000-0100-00009A00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ECONOMIC</a:t>
            </a:r>
          </a:p>
        </xdr:txBody>
      </xdr:sp>
      <xdr:sp macro="" textlink="">
        <xdr:nvSpPr>
          <xdr:cNvPr id="155" name="Fluxograma: Dados armazenados 154">
            <a:extLst>
              <a:ext uri="{FF2B5EF4-FFF2-40B4-BE49-F238E27FC236}">
                <a16:creationId xmlns:a16="http://schemas.microsoft.com/office/drawing/2014/main" xmlns="" id="{00000000-0008-0000-0100-00009B00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chemeClr val="accent1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14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156" name="Fluxograma: Dados armazenados 155">
            <a:extLst>
              <a:ext uri="{FF2B5EF4-FFF2-40B4-BE49-F238E27FC236}">
                <a16:creationId xmlns:a16="http://schemas.microsoft.com/office/drawing/2014/main" xmlns="" id="{00000000-0008-0000-0100-00009C00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chemeClr val="accent1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12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2</xdr:col>
      <xdr:colOff>677951</xdr:colOff>
      <xdr:row>12</xdr:row>
      <xdr:rowOff>171273</xdr:rowOff>
    </xdr:from>
    <xdr:to>
      <xdr:col>7</xdr:col>
      <xdr:colOff>102867</xdr:colOff>
      <xdr:row>15</xdr:row>
      <xdr:rowOff>139773</xdr:rowOff>
    </xdr:to>
    <xdr:grpSp>
      <xdr:nvGrpSpPr>
        <xdr:cNvPr id="157" name="Grupo 156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xmlns="" id="{00000000-0008-0000-0100-00009D000000}"/>
            </a:ext>
          </a:extLst>
        </xdr:cNvPr>
        <xdr:cNvGrpSpPr/>
      </xdr:nvGrpSpPr>
      <xdr:grpSpPr>
        <a:xfrm>
          <a:off x="3706901" y="3657423"/>
          <a:ext cx="2777716" cy="540000"/>
          <a:chOff x="1164167" y="3323151"/>
          <a:chExt cx="3005656" cy="275183"/>
        </a:xfrm>
      </xdr:grpSpPr>
      <xdr:sp macro="" textlink="">
        <xdr:nvSpPr>
          <xdr:cNvPr id="158" name="Retângulo de cantos arredondados 157">
            <a:extLst>
              <a:ext uri="{FF2B5EF4-FFF2-40B4-BE49-F238E27FC236}">
                <a16:creationId xmlns:a16="http://schemas.microsoft.com/office/drawing/2014/main" xmlns="" id="{00000000-0008-0000-0100-00009E00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07B 1.2</a:t>
            </a:r>
          </a:p>
        </xdr:txBody>
      </xdr:sp>
      <xdr:sp macro="" textlink="">
        <xdr:nvSpPr>
          <xdr:cNvPr id="159" name="Fluxograma: Dados armazenados 158">
            <a:extLst>
              <a:ext uri="{FF2B5EF4-FFF2-40B4-BE49-F238E27FC236}">
                <a16:creationId xmlns:a16="http://schemas.microsoft.com/office/drawing/2014/main" xmlns="" id="{00000000-0008-0000-0100-00009F00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chemeClr val="accent1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14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160" name="Fluxograma: Dados armazenados 159">
            <a:extLst>
              <a:ext uri="{FF2B5EF4-FFF2-40B4-BE49-F238E27FC236}">
                <a16:creationId xmlns:a16="http://schemas.microsoft.com/office/drawing/2014/main" xmlns="" id="{00000000-0008-0000-0100-0000A000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chemeClr val="accent1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12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2</xdr:col>
      <xdr:colOff>677951</xdr:colOff>
      <xdr:row>29</xdr:row>
      <xdr:rowOff>151717</xdr:rowOff>
    </xdr:from>
    <xdr:to>
      <xdr:col>7</xdr:col>
      <xdr:colOff>102867</xdr:colOff>
      <xdr:row>32</xdr:row>
      <xdr:rowOff>120217</xdr:rowOff>
    </xdr:to>
    <xdr:grpSp>
      <xdr:nvGrpSpPr>
        <xdr:cNvPr id="161" name="Grupo 160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xmlns="" id="{00000000-0008-0000-0100-0000A1000000}"/>
            </a:ext>
          </a:extLst>
        </xdr:cNvPr>
        <xdr:cNvGrpSpPr/>
      </xdr:nvGrpSpPr>
      <xdr:grpSpPr>
        <a:xfrm>
          <a:off x="3706901" y="6876367"/>
          <a:ext cx="2777716" cy="540000"/>
          <a:chOff x="1164167" y="3323151"/>
          <a:chExt cx="3005656" cy="275183"/>
        </a:xfrm>
      </xdr:grpSpPr>
      <xdr:sp macro="" textlink="">
        <xdr:nvSpPr>
          <xdr:cNvPr id="162" name="Retângulo de cantos arredondados 161">
            <a:extLst>
              <a:ext uri="{FF2B5EF4-FFF2-40B4-BE49-F238E27FC236}">
                <a16:creationId xmlns:a16="http://schemas.microsoft.com/office/drawing/2014/main" xmlns="" id="{00000000-0008-0000-0100-0000A200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TOP 2000</a:t>
            </a:r>
          </a:p>
        </xdr:txBody>
      </xdr:sp>
      <xdr:sp macro="" textlink="">
        <xdr:nvSpPr>
          <xdr:cNvPr id="163" name="Fluxograma: Dados armazenados 162">
            <a:extLst>
              <a:ext uri="{FF2B5EF4-FFF2-40B4-BE49-F238E27FC236}">
                <a16:creationId xmlns:a16="http://schemas.microsoft.com/office/drawing/2014/main" xmlns="" id="{00000000-0008-0000-0100-0000A300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chemeClr val="accent1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16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164" name="Fluxograma: Dados armazenados 163">
            <a:extLst>
              <a:ext uri="{FF2B5EF4-FFF2-40B4-BE49-F238E27FC236}">
                <a16:creationId xmlns:a16="http://schemas.microsoft.com/office/drawing/2014/main" xmlns="" id="{00000000-0008-0000-0100-0000A400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chemeClr val="accent1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16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2</xdr:col>
      <xdr:colOff>677951</xdr:colOff>
      <xdr:row>8</xdr:row>
      <xdr:rowOff>128537</xdr:rowOff>
    </xdr:from>
    <xdr:to>
      <xdr:col>7</xdr:col>
      <xdr:colOff>102867</xdr:colOff>
      <xdr:row>11</xdr:row>
      <xdr:rowOff>97037</xdr:rowOff>
    </xdr:to>
    <xdr:grpSp>
      <xdr:nvGrpSpPr>
        <xdr:cNvPr id="165" name="Grupo 164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xmlns="" id="{00000000-0008-0000-0100-0000A5000000}"/>
            </a:ext>
          </a:extLst>
        </xdr:cNvPr>
        <xdr:cNvGrpSpPr/>
      </xdr:nvGrpSpPr>
      <xdr:grpSpPr>
        <a:xfrm>
          <a:off x="3706901" y="2852687"/>
          <a:ext cx="2777716" cy="540000"/>
          <a:chOff x="1164167" y="3323151"/>
          <a:chExt cx="3005656" cy="275183"/>
        </a:xfrm>
      </xdr:grpSpPr>
      <xdr:sp macro="" textlink="">
        <xdr:nvSpPr>
          <xdr:cNvPr id="166" name="Retângulo de cantos arredondados 165">
            <a:extLst>
              <a:ext uri="{FF2B5EF4-FFF2-40B4-BE49-F238E27FC236}">
                <a16:creationId xmlns:a16="http://schemas.microsoft.com/office/drawing/2014/main" xmlns="" id="{00000000-0008-0000-0100-0000A600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07</a:t>
            </a:r>
          </a:p>
        </xdr:txBody>
      </xdr:sp>
      <xdr:sp macro="" textlink="">
        <xdr:nvSpPr>
          <xdr:cNvPr id="167" name="Fluxograma: Dados armazenados 166">
            <a:extLst>
              <a:ext uri="{FF2B5EF4-FFF2-40B4-BE49-F238E27FC236}">
                <a16:creationId xmlns:a16="http://schemas.microsoft.com/office/drawing/2014/main" xmlns="" id="{00000000-0008-0000-0100-0000A700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chemeClr val="accent1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14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168" name="Fluxograma: Dados armazenados 167">
            <a:extLst>
              <a:ext uri="{FF2B5EF4-FFF2-40B4-BE49-F238E27FC236}">
                <a16:creationId xmlns:a16="http://schemas.microsoft.com/office/drawing/2014/main" xmlns="" id="{00000000-0008-0000-0100-0000A800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chemeClr val="accent1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12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2</xdr:col>
      <xdr:colOff>677951</xdr:colOff>
      <xdr:row>17</xdr:row>
      <xdr:rowOff>23509</xdr:rowOff>
    </xdr:from>
    <xdr:to>
      <xdr:col>7</xdr:col>
      <xdr:colOff>102867</xdr:colOff>
      <xdr:row>19</xdr:row>
      <xdr:rowOff>182509</xdr:rowOff>
    </xdr:to>
    <xdr:grpSp>
      <xdr:nvGrpSpPr>
        <xdr:cNvPr id="169" name="Grupo 168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xmlns="" id="{00000000-0008-0000-0100-0000A9000000}"/>
            </a:ext>
          </a:extLst>
        </xdr:cNvPr>
        <xdr:cNvGrpSpPr/>
      </xdr:nvGrpSpPr>
      <xdr:grpSpPr>
        <a:xfrm>
          <a:off x="3706901" y="4462159"/>
          <a:ext cx="2777716" cy="540000"/>
          <a:chOff x="1164167" y="3323151"/>
          <a:chExt cx="3005656" cy="275183"/>
        </a:xfrm>
      </xdr:grpSpPr>
      <xdr:sp macro="" textlink="">
        <xdr:nvSpPr>
          <xdr:cNvPr id="170" name="Retângulo de cantos arredondados 169">
            <a:extLst>
              <a:ext uri="{FF2B5EF4-FFF2-40B4-BE49-F238E27FC236}">
                <a16:creationId xmlns:a16="http://schemas.microsoft.com/office/drawing/2014/main" xmlns="" id="{00000000-0008-0000-0100-0000AA00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ECONOMIC FINA</a:t>
            </a:r>
          </a:p>
        </xdr:txBody>
      </xdr:sp>
      <xdr:sp macro="" textlink="">
        <xdr:nvSpPr>
          <xdr:cNvPr id="171" name="Fluxograma: Dados armazenados 170">
            <a:extLst>
              <a:ext uri="{FF2B5EF4-FFF2-40B4-BE49-F238E27FC236}">
                <a16:creationId xmlns:a16="http://schemas.microsoft.com/office/drawing/2014/main" xmlns="" id="{00000000-0008-0000-0100-0000AB00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chemeClr val="accent1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14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172" name="Fluxograma: Dados armazenados 171">
            <a:extLst>
              <a:ext uri="{FF2B5EF4-FFF2-40B4-BE49-F238E27FC236}">
                <a16:creationId xmlns:a16="http://schemas.microsoft.com/office/drawing/2014/main" xmlns="" id="{00000000-0008-0000-0100-0000AC00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chemeClr val="accent1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12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2</xdr:col>
      <xdr:colOff>677951</xdr:colOff>
      <xdr:row>38</xdr:row>
      <xdr:rowOff>46689</xdr:rowOff>
    </xdr:from>
    <xdr:to>
      <xdr:col>7</xdr:col>
      <xdr:colOff>102867</xdr:colOff>
      <xdr:row>41</xdr:row>
      <xdr:rowOff>15189</xdr:rowOff>
    </xdr:to>
    <xdr:grpSp>
      <xdr:nvGrpSpPr>
        <xdr:cNvPr id="173" name="Grupo 172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xmlns="" id="{00000000-0008-0000-0100-0000AD000000}"/>
            </a:ext>
          </a:extLst>
        </xdr:cNvPr>
        <xdr:cNvGrpSpPr/>
      </xdr:nvGrpSpPr>
      <xdr:grpSpPr>
        <a:xfrm>
          <a:off x="3706901" y="8485839"/>
          <a:ext cx="2777716" cy="540000"/>
          <a:chOff x="1164167" y="3323151"/>
          <a:chExt cx="3005656" cy="275183"/>
        </a:xfrm>
      </xdr:grpSpPr>
      <xdr:sp macro="" textlink="">
        <xdr:nvSpPr>
          <xdr:cNvPr id="174" name="Retângulo de cantos arredondados 173">
            <a:extLst>
              <a:ext uri="{FF2B5EF4-FFF2-40B4-BE49-F238E27FC236}">
                <a16:creationId xmlns:a16="http://schemas.microsoft.com/office/drawing/2014/main" xmlns="" id="{00000000-0008-0000-0100-0000AE00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TINTEIRO</a:t>
            </a:r>
          </a:p>
        </xdr:txBody>
      </xdr:sp>
      <xdr:sp macro="" textlink="">
        <xdr:nvSpPr>
          <xdr:cNvPr id="175" name="Fluxograma: Dados armazenados 174">
            <a:extLst>
              <a:ext uri="{FF2B5EF4-FFF2-40B4-BE49-F238E27FC236}">
                <a16:creationId xmlns:a16="http://schemas.microsoft.com/office/drawing/2014/main" xmlns="" id="{00000000-0008-0000-0100-0000AF00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chemeClr val="accent1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16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176" name="Fluxograma: Dados armazenados 175">
            <a:extLst>
              <a:ext uri="{FF2B5EF4-FFF2-40B4-BE49-F238E27FC236}">
                <a16:creationId xmlns:a16="http://schemas.microsoft.com/office/drawing/2014/main" xmlns="" id="{00000000-0008-0000-0100-0000B000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chemeClr val="accent1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16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2</xdr:col>
      <xdr:colOff>677951</xdr:colOff>
      <xdr:row>25</xdr:row>
      <xdr:rowOff>108981</xdr:rowOff>
    </xdr:from>
    <xdr:to>
      <xdr:col>7</xdr:col>
      <xdr:colOff>102867</xdr:colOff>
      <xdr:row>28</xdr:row>
      <xdr:rowOff>77481</xdr:rowOff>
    </xdr:to>
    <xdr:grpSp>
      <xdr:nvGrpSpPr>
        <xdr:cNvPr id="177" name="Grupo 176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xmlns="" id="{00000000-0008-0000-0100-0000B1000000}"/>
            </a:ext>
          </a:extLst>
        </xdr:cNvPr>
        <xdr:cNvGrpSpPr/>
      </xdr:nvGrpSpPr>
      <xdr:grpSpPr>
        <a:xfrm>
          <a:off x="3706901" y="6071631"/>
          <a:ext cx="2777716" cy="540000"/>
          <a:chOff x="1164167" y="3323151"/>
          <a:chExt cx="3005656" cy="275183"/>
        </a:xfrm>
      </xdr:grpSpPr>
      <xdr:sp macro="" textlink="">
        <xdr:nvSpPr>
          <xdr:cNvPr id="178" name="Retângulo de cantos arredondados 177">
            <a:extLst>
              <a:ext uri="{FF2B5EF4-FFF2-40B4-BE49-F238E27FC236}">
                <a16:creationId xmlns:a16="http://schemas.microsoft.com/office/drawing/2014/main" xmlns="" id="{00000000-0008-0000-0100-0000B200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SMART</a:t>
            </a:r>
          </a:p>
        </xdr:txBody>
      </xdr:sp>
      <xdr:sp macro="" textlink="">
        <xdr:nvSpPr>
          <xdr:cNvPr id="179" name="Fluxograma: Dados armazenados 178">
            <a:extLst>
              <a:ext uri="{FF2B5EF4-FFF2-40B4-BE49-F238E27FC236}">
                <a16:creationId xmlns:a16="http://schemas.microsoft.com/office/drawing/2014/main" xmlns="" id="{00000000-0008-0000-0100-0000B300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chemeClr val="accent1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16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180" name="Fluxograma: Dados armazenados 179">
            <a:extLst>
              <a:ext uri="{FF2B5EF4-FFF2-40B4-BE49-F238E27FC236}">
                <a16:creationId xmlns:a16="http://schemas.microsoft.com/office/drawing/2014/main" xmlns="" id="{00000000-0008-0000-0100-0000B400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chemeClr val="accent1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16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2</xdr:col>
      <xdr:colOff>677951</xdr:colOff>
      <xdr:row>34</xdr:row>
      <xdr:rowOff>3953</xdr:rowOff>
    </xdr:from>
    <xdr:to>
      <xdr:col>7</xdr:col>
      <xdr:colOff>102867</xdr:colOff>
      <xdr:row>36</xdr:row>
      <xdr:rowOff>162953</xdr:rowOff>
    </xdr:to>
    <xdr:grpSp>
      <xdr:nvGrpSpPr>
        <xdr:cNvPr id="181" name="Grupo 180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xmlns="" id="{00000000-0008-0000-0100-0000B5000000}"/>
            </a:ext>
          </a:extLst>
        </xdr:cNvPr>
        <xdr:cNvGrpSpPr/>
      </xdr:nvGrpSpPr>
      <xdr:grpSpPr>
        <a:xfrm>
          <a:off x="3706901" y="7681103"/>
          <a:ext cx="2777716" cy="540000"/>
          <a:chOff x="1164167" y="3323151"/>
          <a:chExt cx="3005656" cy="275183"/>
        </a:xfrm>
      </xdr:grpSpPr>
      <xdr:sp macro="" textlink="">
        <xdr:nvSpPr>
          <xdr:cNvPr id="182" name="Retângulo de cantos arredondados 181">
            <a:extLst>
              <a:ext uri="{FF2B5EF4-FFF2-40B4-BE49-F238E27FC236}">
                <a16:creationId xmlns:a16="http://schemas.microsoft.com/office/drawing/2014/main" xmlns="" id="{00000000-0008-0000-0100-0000B600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DUO-PLUS</a:t>
            </a:r>
          </a:p>
        </xdr:txBody>
      </xdr:sp>
      <xdr:sp macro="" textlink="">
        <xdr:nvSpPr>
          <xdr:cNvPr id="183" name="Fluxograma: Dados armazenados 182">
            <a:extLst>
              <a:ext uri="{FF2B5EF4-FFF2-40B4-BE49-F238E27FC236}">
                <a16:creationId xmlns:a16="http://schemas.microsoft.com/office/drawing/2014/main" xmlns="" id="{00000000-0008-0000-0100-0000B700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chemeClr val="accent1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16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184" name="Fluxograma: Dados armazenados 183">
            <a:extLst>
              <a:ext uri="{FF2B5EF4-FFF2-40B4-BE49-F238E27FC236}">
                <a16:creationId xmlns:a16="http://schemas.microsoft.com/office/drawing/2014/main" xmlns="" id="{00000000-0008-0000-0100-0000B800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chemeClr val="accent1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16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2</xdr:col>
      <xdr:colOff>677951</xdr:colOff>
      <xdr:row>21</xdr:row>
      <xdr:rowOff>66245</xdr:rowOff>
    </xdr:from>
    <xdr:to>
      <xdr:col>7</xdr:col>
      <xdr:colOff>102867</xdr:colOff>
      <xdr:row>24</xdr:row>
      <xdr:rowOff>34745</xdr:rowOff>
    </xdr:to>
    <xdr:grpSp>
      <xdr:nvGrpSpPr>
        <xdr:cNvPr id="185" name="Grupo 184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xmlns="" id="{00000000-0008-0000-0100-0000B9000000}"/>
            </a:ext>
          </a:extLst>
        </xdr:cNvPr>
        <xdr:cNvGrpSpPr/>
      </xdr:nvGrpSpPr>
      <xdr:grpSpPr>
        <a:xfrm>
          <a:off x="3706901" y="5266895"/>
          <a:ext cx="2777716" cy="540000"/>
          <a:chOff x="1164167" y="3323151"/>
          <a:chExt cx="3005656" cy="275183"/>
        </a:xfrm>
      </xdr:grpSpPr>
      <xdr:sp macro="" textlink="">
        <xdr:nvSpPr>
          <xdr:cNvPr id="186" name="Retângulo de cantos arredondados 185">
            <a:extLst>
              <a:ext uri="{FF2B5EF4-FFF2-40B4-BE49-F238E27FC236}">
                <a16:creationId xmlns:a16="http://schemas.microsoft.com/office/drawing/2014/main" xmlns="" id="{00000000-0008-0000-0100-0000BA00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JET LUX</a:t>
            </a:r>
          </a:p>
        </xdr:txBody>
      </xdr:sp>
      <xdr:sp macro="" textlink="">
        <xdr:nvSpPr>
          <xdr:cNvPr id="187" name="Fluxograma: Dados armazenados 186">
            <a:extLst>
              <a:ext uri="{FF2B5EF4-FFF2-40B4-BE49-F238E27FC236}">
                <a16:creationId xmlns:a16="http://schemas.microsoft.com/office/drawing/2014/main" xmlns="" id="{00000000-0008-0000-0100-0000BB00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chemeClr val="accent1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14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188" name="Fluxograma: Dados armazenados 187">
            <a:extLst>
              <a:ext uri="{FF2B5EF4-FFF2-40B4-BE49-F238E27FC236}">
                <a16:creationId xmlns:a16="http://schemas.microsoft.com/office/drawing/2014/main" xmlns="" id="{00000000-0008-0000-0100-0000BC00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chemeClr val="accent1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12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2</xdr:col>
      <xdr:colOff>677951</xdr:colOff>
      <xdr:row>42</xdr:row>
      <xdr:rowOff>89425</xdr:rowOff>
    </xdr:from>
    <xdr:to>
      <xdr:col>7</xdr:col>
      <xdr:colOff>102867</xdr:colOff>
      <xdr:row>45</xdr:row>
      <xdr:rowOff>57925</xdr:rowOff>
    </xdr:to>
    <xdr:grpSp>
      <xdr:nvGrpSpPr>
        <xdr:cNvPr id="189" name="Grupo 188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xmlns="" id="{00000000-0008-0000-0100-0000BD000000}"/>
            </a:ext>
          </a:extLst>
        </xdr:cNvPr>
        <xdr:cNvGrpSpPr/>
      </xdr:nvGrpSpPr>
      <xdr:grpSpPr>
        <a:xfrm>
          <a:off x="3706901" y="9290575"/>
          <a:ext cx="2777716" cy="540000"/>
          <a:chOff x="1164167" y="3323151"/>
          <a:chExt cx="3005656" cy="275183"/>
        </a:xfrm>
      </xdr:grpSpPr>
      <xdr:sp macro="" textlink="">
        <xdr:nvSpPr>
          <xdr:cNvPr id="190" name="Retângulo de cantos arredondados 189">
            <a:extLst>
              <a:ext uri="{FF2B5EF4-FFF2-40B4-BE49-F238E27FC236}">
                <a16:creationId xmlns:a16="http://schemas.microsoft.com/office/drawing/2014/main" xmlns="" id="{00000000-0008-0000-0100-0000BE00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07 VIP</a:t>
            </a:r>
            <a:r>
              <a:rPr lang="pt-BR" sz="1600" b="1" baseline="0">
                <a:solidFill>
                  <a:schemeClr val="tx1"/>
                </a:solidFill>
              </a:rPr>
              <a:t> RETRÁTIL</a:t>
            </a:r>
            <a:endParaRPr lang="pt-BR" sz="1600" b="1">
              <a:solidFill>
                <a:schemeClr val="tx1"/>
              </a:solidFill>
            </a:endParaRPr>
          </a:p>
        </xdr:txBody>
      </xdr:sp>
      <xdr:sp macro="" textlink="">
        <xdr:nvSpPr>
          <xdr:cNvPr id="191" name="Fluxograma: Dados armazenados 190">
            <a:extLst>
              <a:ext uri="{FF2B5EF4-FFF2-40B4-BE49-F238E27FC236}">
                <a16:creationId xmlns:a16="http://schemas.microsoft.com/office/drawing/2014/main" xmlns="" id="{00000000-0008-0000-0100-0000BF00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chemeClr val="accent1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16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192" name="Fluxograma: Dados armazenados 191">
            <a:extLst>
              <a:ext uri="{FF2B5EF4-FFF2-40B4-BE49-F238E27FC236}">
                <a16:creationId xmlns:a16="http://schemas.microsoft.com/office/drawing/2014/main" xmlns="" id="{00000000-0008-0000-0100-0000C000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chemeClr val="accent1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16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2</xdr:col>
      <xdr:colOff>677951</xdr:colOff>
      <xdr:row>46</xdr:row>
      <xdr:rowOff>132161</xdr:rowOff>
    </xdr:from>
    <xdr:to>
      <xdr:col>7</xdr:col>
      <xdr:colOff>102867</xdr:colOff>
      <xdr:row>49</xdr:row>
      <xdr:rowOff>100661</xdr:rowOff>
    </xdr:to>
    <xdr:grpSp>
      <xdr:nvGrpSpPr>
        <xdr:cNvPr id="193" name="Grupo 192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xmlns="" id="{00000000-0008-0000-0100-0000C1000000}"/>
            </a:ext>
          </a:extLst>
        </xdr:cNvPr>
        <xdr:cNvGrpSpPr/>
      </xdr:nvGrpSpPr>
      <xdr:grpSpPr>
        <a:xfrm>
          <a:off x="3706901" y="10095311"/>
          <a:ext cx="2777716" cy="540000"/>
          <a:chOff x="1164167" y="3323151"/>
          <a:chExt cx="3005656" cy="275183"/>
        </a:xfrm>
      </xdr:grpSpPr>
      <xdr:sp macro="" textlink="">
        <xdr:nvSpPr>
          <xdr:cNvPr id="194" name="Retângulo de cantos arredondados 193">
            <a:extLst>
              <a:ext uri="{FF2B5EF4-FFF2-40B4-BE49-F238E27FC236}">
                <a16:creationId xmlns:a16="http://schemas.microsoft.com/office/drawing/2014/main" xmlns="" id="{00000000-0008-0000-0100-0000C200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ESF. 201</a:t>
            </a:r>
          </a:p>
        </xdr:txBody>
      </xdr:sp>
      <xdr:sp macro="" textlink="">
        <xdr:nvSpPr>
          <xdr:cNvPr id="195" name="Fluxograma: Dados armazenados 194">
            <a:extLst>
              <a:ext uri="{FF2B5EF4-FFF2-40B4-BE49-F238E27FC236}">
                <a16:creationId xmlns:a16="http://schemas.microsoft.com/office/drawing/2014/main" xmlns="" id="{00000000-0008-0000-0100-0000C300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chemeClr val="accent1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16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196" name="Fluxograma: Dados armazenados 195">
            <a:extLst>
              <a:ext uri="{FF2B5EF4-FFF2-40B4-BE49-F238E27FC236}">
                <a16:creationId xmlns:a16="http://schemas.microsoft.com/office/drawing/2014/main" xmlns="" id="{00000000-0008-0000-0100-0000C400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chemeClr val="accent1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16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2</xdr:col>
      <xdr:colOff>677951</xdr:colOff>
      <xdr:row>50</xdr:row>
      <xdr:rowOff>174891</xdr:rowOff>
    </xdr:from>
    <xdr:to>
      <xdr:col>7</xdr:col>
      <xdr:colOff>102867</xdr:colOff>
      <xdr:row>53</xdr:row>
      <xdr:rowOff>143391</xdr:rowOff>
    </xdr:to>
    <xdr:grpSp>
      <xdr:nvGrpSpPr>
        <xdr:cNvPr id="197" name="Grupo 196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xmlns="" id="{00000000-0008-0000-0100-0000C5000000}"/>
            </a:ext>
          </a:extLst>
        </xdr:cNvPr>
        <xdr:cNvGrpSpPr/>
      </xdr:nvGrpSpPr>
      <xdr:grpSpPr>
        <a:xfrm>
          <a:off x="3706901" y="10900041"/>
          <a:ext cx="2777716" cy="540000"/>
          <a:chOff x="1164167" y="3323151"/>
          <a:chExt cx="3005656" cy="275183"/>
        </a:xfrm>
      </xdr:grpSpPr>
      <xdr:sp macro="" textlink="">
        <xdr:nvSpPr>
          <xdr:cNvPr id="198" name="Retângulo de cantos arredondados 197">
            <a:extLst>
              <a:ext uri="{FF2B5EF4-FFF2-40B4-BE49-F238E27FC236}">
                <a16:creationId xmlns:a16="http://schemas.microsoft.com/office/drawing/2014/main" xmlns="" id="{00000000-0008-0000-0100-0000C600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SENATOR</a:t>
            </a:r>
          </a:p>
        </xdr:txBody>
      </xdr:sp>
      <xdr:sp macro="" textlink="">
        <xdr:nvSpPr>
          <xdr:cNvPr id="199" name="Fluxograma: Dados armazenados 198">
            <a:extLst>
              <a:ext uri="{FF2B5EF4-FFF2-40B4-BE49-F238E27FC236}">
                <a16:creationId xmlns:a16="http://schemas.microsoft.com/office/drawing/2014/main" xmlns="" id="{00000000-0008-0000-0100-0000C700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chemeClr val="accent1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16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200" name="Fluxograma: Dados armazenados 199">
            <a:extLst>
              <a:ext uri="{FF2B5EF4-FFF2-40B4-BE49-F238E27FC236}">
                <a16:creationId xmlns:a16="http://schemas.microsoft.com/office/drawing/2014/main" xmlns="" id="{00000000-0008-0000-0100-0000C800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chemeClr val="accent1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16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9</xdr:col>
      <xdr:colOff>135082</xdr:colOff>
      <xdr:row>0</xdr:row>
      <xdr:rowOff>256311</xdr:rowOff>
    </xdr:from>
    <xdr:to>
      <xdr:col>14</xdr:col>
      <xdr:colOff>344400</xdr:colOff>
      <xdr:row>0</xdr:row>
      <xdr:rowOff>976314</xdr:rowOff>
    </xdr:to>
    <xdr:grpSp>
      <xdr:nvGrpSpPr>
        <xdr:cNvPr id="201" name="Grupo 200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xmlns="" id="{00000000-0008-0000-0100-0000C9000000}"/>
            </a:ext>
          </a:extLst>
        </xdr:cNvPr>
        <xdr:cNvGrpSpPr/>
      </xdr:nvGrpSpPr>
      <xdr:grpSpPr>
        <a:xfrm>
          <a:off x="7736032" y="256311"/>
          <a:ext cx="3257318" cy="720003"/>
          <a:chOff x="1164167" y="3323150"/>
          <a:chExt cx="3005656" cy="275184"/>
        </a:xfrm>
      </xdr:grpSpPr>
      <xdr:sp macro="" textlink="">
        <xdr:nvSpPr>
          <xdr:cNvPr id="202" name="Retângulo de cantos arredondados 201">
            <a:extLst>
              <a:ext uri="{FF2B5EF4-FFF2-40B4-BE49-F238E27FC236}">
                <a16:creationId xmlns:a16="http://schemas.microsoft.com/office/drawing/2014/main" xmlns="" id="{00000000-0008-0000-0100-0000CA000000}"/>
              </a:ext>
            </a:extLst>
          </xdr:cNvPr>
          <xdr:cNvSpPr/>
        </xdr:nvSpPr>
        <xdr:spPr>
          <a:xfrm>
            <a:off x="1566287" y="3323150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 b="1">
                <a:solidFill>
                  <a:schemeClr val="tx1"/>
                </a:solidFill>
              </a:rPr>
              <a:t>HIDRO.</a:t>
            </a:r>
            <a:r>
              <a:rPr lang="pt-BR" sz="2000" b="1" baseline="0">
                <a:solidFill>
                  <a:schemeClr val="tx1"/>
                </a:solidFill>
              </a:rPr>
              <a:t> E MARC.</a:t>
            </a:r>
            <a:endParaRPr lang="pt-BR" sz="900" b="1">
              <a:solidFill>
                <a:schemeClr val="tx1"/>
              </a:solidFill>
            </a:endParaRPr>
          </a:p>
        </xdr:txBody>
      </xdr:sp>
      <xdr:sp macro="" textlink="">
        <xdr:nvSpPr>
          <xdr:cNvPr id="203" name="Fluxograma: Dados armazenados 202">
            <a:extLst>
              <a:ext uri="{FF2B5EF4-FFF2-40B4-BE49-F238E27FC236}">
                <a16:creationId xmlns:a16="http://schemas.microsoft.com/office/drawing/2014/main" xmlns="" id="{00000000-0008-0000-0100-0000CB00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chemeClr val="accent6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8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204" name="Fluxograma: Dados armazenados 203">
            <a:extLst>
              <a:ext uri="{FF2B5EF4-FFF2-40B4-BE49-F238E27FC236}">
                <a16:creationId xmlns:a16="http://schemas.microsoft.com/office/drawing/2014/main" xmlns="" id="{00000000-0008-0000-0100-0000CC00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chemeClr val="accent6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7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16</xdr:col>
      <xdr:colOff>140277</xdr:colOff>
      <xdr:row>0</xdr:row>
      <xdr:rowOff>256309</xdr:rowOff>
    </xdr:from>
    <xdr:to>
      <xdr:col>21</xdr:col>
      <xdr:colOff>349595</xdr:colOff>
      <xdr:row>0</xdr:row>
      <xdr:rowOff>976309</xdr:rowOff>
    </xdr:to>
    <xdr:grpSp>
      <xdr:nvGrpSpPr>
        <xdr:cNvPr id="257" name="Grupo 256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xmlns="" id="{00000000-0008-0000-0100-000001010000}"/>
            </a:ext>
          </a:extLst>
        </xdr:cNvPr>
        <xdr:cNvGrpSpPr/>
      </xdr:nvGrpSpPr>
      <xdr:grpSpPr>
        <a:xfrm>
          <a:off x="12008427" y="256309"/>
          <a:ext cx="3257318" cy="720000"/>
          <a:chOff x="1164167" y="3323151"/>
          <a:chExt cx="3005656" cy="275183"/>
        </a:xfrm>
      </xdr:grpSpPr>
      <xdr:sp macro="" textlink="">
        <xdr:nvSpPr>
          <xdr:cNvPr id="258" name="Retângulo de cantos arredondados 257">
            <a:extLst>
              <a:ext uri="{FF2B5EF4-FFF2-40B4-BE49-F238E27FC236}">
                <a16:creationId xmlns:a16="http://schemas.microsoft.com/office/drawing/2014/main" xmlns="" id="{00000000-0008-0000-0100-00000201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 b="1">
                <a:solidFill>
                  <a:schemeClr val="tx1"/>
                </a:solidFill>
              </a:rPr>
              <a:t>LAPISEIRAS</a:t>
            </a:r>
            <a:endParaRPr lang="pt-BR" sz="900" b="1">
              <a:solidFill>
                <a:schemeClr val="tx1"/>
              </a:solidFill>
            </a:endParaRPr>
          </a:p>
        </xdr:txBody>
      </xdr:sp>
      <xdr:sp macro="" textlink="">
        <xdr:nvSpPr>
          <xdr:cNvPr id="259" name="Fluxograma: Dados armazenados 258">
            <a:extLst>
              <a:ext uri="{FF2B5EF4-FFF2-40B4-BE49-F238E27FC236}">
                <a16:creationId xmlns:a16="http://schemas.microsoft.com/office/drawing/2014/main" xmlns="" id="{00000000-0008-0000-0100-00000301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rgbClr val="00B050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8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260" name="Fluxograma: Dados armazenados 259">
            <a:extLst>
              <a:ext uri="{FF2B5EF4-FFF2-40B4-BE49-F238E27FC236}">
                <a16:creationId xmlns:a16="http://schemas.microsoft.com/office/drawing/2014/main" xmlns="" id="{00000000-0008-0000-0100-00000401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rgbClr val="00B050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7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23</xdr:col>
      <xdr:colOff>145472</xdr:colOff>
      <xdr:row>0</xdr:row>
      <xdr:rowOff>256309</xdr:rowOff>
    </xdr:from>
    <xdr:to>
      <xdr:col>28</xdr:col>
      <xdr:colOff>8427</xdr:colOff>
      <xdr:row>0</xdr:row>
      <xdr:rowOff>976309</xdr:rowOff>
    </xdr:to>
    <xdr:grpSp>
      <xdr:nvGrpSpPr>
        <xdr:cNvPr id="313" name="Grupo 312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xmlns="" id="{00000000-0008-0000-0100-000039010000}"/>
            </a:ext>
          </a:extLst>
        </xdr:cNvPr>
        <xdr:cNvGrpSpPr/>
      </xdr:nvGrpSpPr>
      <xdr:grpSpPr>
        <a:xfrm>
          <a:off x="16280822" y="256309"/>
          <a:ext cx="3253855" cy="720000"/>
          <a:chOff x="1164167" y="3323151"/>
          <a:chExt cx="3005656" cy="275183"/>
        </a:xfrm>
      </xdr:grpSpPr>
      <xdr:sp macro="" textlink="">
        <xdr:nvSpPr>
          <xdr:cNvPr id="314" name="Retângulo de cantos arredondados 313">
            <a:extLst>
              <a:ext uri="{FF2B5EF4-FFF2-40B4-BE49-F238E27FC236}">
                <a16:creationId xmlns:a16="http://schemas.microsoft.com/office/drawing/2014/main" xmlns="" id="{00000000-0008-0000-0100-00003A01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 b="1">
                <a:solidFill>
                  <a:schemeClr val="tx1"/>
                </a:solidFill>
              </a:rPr>
              <a:t>COLA</a:t>
            </a:r>
            <a:endParaRPr lang="pt-BR" sz="900" b="1">
              <a:solidFill>
                <a:schemeClr val="tx1"/>
              </a:solidFill>
            </a:endParaRPr>
          </a:p>
        </xdr:txBody>
      </xdr:sp>
      <xdr:sp macro="" textlink="">
        <xdr:nvSpPr>
          <xdr:cNvPr id="315" name="Fluxograma: Dados armazenados 314">
            <a:extLst>
              <a:ext uri="{FF2B5EF4-FFF2-40B4-BE49-F238E27FC236}">
                <a16:creationId xmlns:a16="http://schemas.microsoft.com/office/drawing/2014/main" xmlns="" id="{00000000-0008-0000-0100-00003B01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rgbClr val="FF0000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8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316" name="Fluxograma: Dados armazenados 315">
            <a:extLst>
              <a:ext uri="{FF2B5EF4-FFF2-40B4-BE49-F238E27FC236}">
                <a16:creationId xmlns:a16="http://schemas.microsoft.com/office/drawing/2014/main" xmlns="" id="{00000000-0008-0000-0100-00003C01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rgbClr val="FF0000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7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29</xdr:col>
      <xdr:colOff>410441</xdr:colOff>
      <xdr:row>0</xdr:row>
      <xdr:rowOff>256309</xdr:rowOff>
    </xdr:from>
    <xdr:to>
      <xdr:col>32</xdr:col>
      <xdr:colOff>1658850</xdr:colOff>
      <xdr:row>0</xdr:row>
      <xdr:rowOff>976309</xdr:rowOff>
    </xdr:to>
    <xdr:grpSp>
      <xdr:nvGrpSpPr>
        <xdr:cNvPr id="369" name="Grupo 368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xmlns="" id="{00000000-0008-0000-0100-000071010000}"/>
            </a:ext>
          </a:extLst>
        </xdr:cNvPr>
        <xdr:cNvGrpSpPr/>
      </xdr:nvGrpSpPr>
      <xdr:grpSpPr>
        <a:xfrm>
          <a:off x="20546291" y="256309"/>
          <a:ext cx="3248659" cy="720000"/>
          <a:chOff x="1164167" y="3323151"/>
          <a:chExt cx="3005656" cy="275183"/>
        </a:xfrm>
      </xdr:grpSpPr>
      <xdr:sp macro="" textlink="">
        <xdr:nvSpPr>
          <xdr:cNvPr id="370" name="Retângulo de cantos arredondados 369">
            <a:extLst>
              <a:ext uri="{FF2B5EF4-FFF2-40B4-BE49-F238E27FC236}">
                <a16:creationId xmlns:a16="http://schemas.microsoft.com/office/drawing/2014/main" xmlns="" id="{00000000-0008-0000-0100-00007201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 b="1">
                <a:solidFill>
                  <a:schemeClr val="tx1"/>
                </a:solidFill>
              </a:rPr>
              <a:t>REABASTECEDOR</a:t>
            </a:r>
            <a:endParaRPr lang="pt-BR" sz="900" b="1">
              <a:solidFill>
                <a:schemeClr val="tx1"/>
              </a:solidFill>
            </a:endParaRPr>
          </a:p>
        </xdr:txBody>
      </xdr:sp>
      <xdr:sp macro="" textlink="">
        <xdr:nvSpPr>
          <xdr:cNvPr id="371" name="Fluxograma: Dados armazenados 370">
            <a:extLst>
              <a:ext uri="{FF2B5EF4-FFF2-40B4-BE49-F238E27FC236}">
                <a16:creationId xmlns:a16="http://schemas.microsoft.com/office/drawing/2014/main" xmlns="" id="{00000000-0008-0000-0100-00007301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chemeClr val="accent4">
              <a:lumMod val="75000"/>
            </a:schemeClr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8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372" name="Fluxograma: Dados armazenados 371">
            <a:extLst>
              <a:ext uri="{FF2B5EF4-FFF2-40B4-BE49-F238E27FC236}">
                <a16:creationId xmlns:a16="http://schemas.microsoft.com/office/drawing/2014/main" xmlns="" id="{00000000-0008-0000-0100-00007401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chemeClr val="accent4">
              <a:lumMod val="75000"/>
            </a:schemeClr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7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9</xdr:col>
      <xdr:colOff>371420</xdr:colOff>
      <xdr:row>1</xdr:row>
      <xdr:rowOff>120359</xdr:rowOff>
    </xdr:from>
    <xdr:to>
      <xdr:col>14</xdr:col>
      <xdr:colOff>108063</xdr:colOff>
      <xdr:row>3</xdr:row>
      <xdr:rowOff>279359</xdr:rowOff>
    </xdr:to>
    <xdr:grpSp>
      <xdr:nvGrpSpPr>
        <xdr:cNvPr id="501" name="Grupo 500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xmlns="" id="{00000000-0008-0000-0100-0000F5010000}"/>
            </a:ext>
          </a:extLst>
        </xdr:cNvPr>
        <xdr:cNvGrpSpPr/>
      </xdr:nvGrpSpPr>
      <xdr:grpSpPr>
        <a:xfrm>
          <a:off x="7972370" y="1244309"/>
          <a:ext cx="2784643" cy="540000"/>
          <a:chOff x="1164167" y="3323151"/>
          <a:chExt cx="3005656" cy="275183"/>
        </a:xfrm>
      </xdr:grpSpPr>
      <xdr:sp macro="" textlink="">
        <xdr:nvSpPr>
          <xdr:cNvPr id="502" name="Retângulo de cantos arredondados 501">
            <a:extLst>
              <a:ext uri="{FF2B5EF4-FFF2-40B4-BE49-F238E27FC236}">
                <a16:creationId xmlns:a16="http://schemas.microsoft.com/office/drawing/2014/main" xmlns="" id="{00000000-0008-0000-0100-0000F601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COLOR</a:t>
            </a:r>
          </a:p>
        </xdr:txBody>
      </xdr:sp>
      <xdr:sp macro="" textlink="">
        <xdr:nvSpPr>
          <xdr:cNvPr id="503" name="Fluxograma: Dados armazenados 502">
            <a:extLst>
              <a:ext uri="{FF2B5EF4-FFF2-40B4-BE49-F238E27FC236}">
                <a16:creationId xmlns:a16="http://schemas.microsoft.com/office/drawing/2014/main" xmlns="" id="{00000000-0008-0000-0100-0000F701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chemeClr val="accent6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16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504" name="Fluxograma: Dados armazenados 503">
            <a:extLst>
              <a:ext uri="{FF2B5EF4-FFF2-40B4-BE49-F238E27FC236}">
                <a16:creationId xmlns:a16="http://schemas.microsoft.com/office/drawing/2014/main" xmlns="" id="{00000000-0008-0000-0100-0000F801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chemeClr val="accent6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16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9</xdr:col>
      <xdr:colOff>371420</xdr:colOff>
      <xdr:row>4</xdr:row>
      <xdr:rowOff>93822</xdr:rowOff>
    </xdr:from>
    <xdr:to>
      <xdr:col>14</xdr:col>
      <xdr:colOff>108063</xdr:colOff>
      <xdr:row>7</xdr:row>
      <xdr:rowOff>62322</xdr:rowOff>
    </xdr:to>
    <xdr:grpSp>
      <xdr:nvGrpSpPr>
        <xdr:cNvPr id="505" name="Grupo 504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xmlns="" id="{00000000-0008-0000-0100-0000F9010000}"/>
            </a:ext>
          </a:extLst>
        </xdr:cNvPr>
        <xdr:cNvGrpSpPr/>
      </xdr:nvGrpSpPr>
      <xdr:grpSpPr>
        <a:xfrm>
          <a:off x="7972370" y="2055972"/>
          <a:ext cx="2784643" cy="540000"/>
          <a:chOff x="1164167" y="3323151"/>
          <a:chExt cx="3005656" cy="275183"/>
        </a:xfrm>
      </xdr:grpSpPr>
      <xdr:sp macro="" textlink="">
        <xdr:nvSpPr>
          <xdr:cNvPr id="506" name="Retângulo de cantos arredondados 505">
            <a:extLst>
              <a:ext uri="{FF2B5EF4-FFF2-40B4-BE49-F238E27FC236}">
                <a16:creationId xmlns:a16="http://schemas.microsoft.com/office/drawing/2014/main" xmlns="" id="{00000000-0008-0000-0100-0000FA01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NEO PEN</a:t>
            </a:r>
          </a:p>
        </xdr:txBody>
      </xdr:sp>
      <xdr:sp macro="" textlink="">
        <xdr:nvSpPr>
          <xdr:cNvPr id="507" name="Fluxograma: Dados armazenados 506">
            <a:extLst>
              <a:ext uri="{FF2B5EF4-FFF2-40B4-BE49-F238E27FC236}">
                <a16:creationId xmlns:a16="http://schemas.microsoft.com/office/drawing/2014/main" xmlns="" id="{00000000-0008-0000-0100-0000FB01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chemeClr val="accent6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16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508" name="Fluxograma: Dados armazenados 507">
            <a:extLst>
              <a:ext uri="{FF2B5EF4-FFF2-40B4-BE49-F238E27FC236}">
                <a16:creationId xmlns:a16="http://schemas.microsoft.com/office/drawing/2014/main" xmlns="" id="{00000000-0008-0000-0100-0000FC01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chemeClr val="accent6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16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9</xdr:col>
      <xdr:colOff>371420</xdr:colOff>
      <xdr:row>12</xdr:row>
      <xdr:rowOff>180160</xdr:rowOff>
    </xdr:from>
    <xdr:to>
      <xdr:col>14</xdr:col>
      <xdr:colOff>108063</xdr:colOff>
      <xdr:row>15</xdr:row>
      <xdr:rowOff>148660</xdr:rowOff>
    </xdr:to>
    <xdr:grpSp>
      <xdr:nvGrpSpPr>
        <xdr:cNvPr id="509" name="Grupo 508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xmlns="" id="{00000000-0008-0000-0100-0000FD010000}"/>
            </a:ext>
          </a:extLst>
        </xdr:cNvPr>
        <xdr:cNvGrpSpPr/>
      </xdr:nvGrpSpPr>
      <xdr:grpSpPr>
        <a:xfrm>
          <a:off x="7972370" y="3666310"/>
          <a:ext cx="2784643" cy="540000"/>
          <a:chOff x="1164167" y="3323151"/>
          <a:chExt cx="3005656" cy="275183"/>
        </a:xfrm>
      </xdr:grpSpPr>
      <xdr:sp macro="" textlink="">
        <xdr:nvSpPr>
          <xdr:cNvPr id="510" name="Retângulo de cantos arredondados 509">
            <a:extLst>
              <a:ext uri="{FF2B5EF4-FFF2-40B4-BE49-F238E27FC236}">
                <a16:creationId xmlns:a16="http://schemas.microsoft.com/office/drawing/2014/main" xmlns="" id="{00000000-0008-0000-0100-0000FE01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DESTAQ</a:t>
            </a:r>
          </a:p>
        </xdr:txBody>
      </xdr:sp>
      <xdr:sp macro="" textlink="">
        <xdr:nvSpPr>
          <xdr:cNvPr id="511" name="Fluxograma: Dados armazenados 510">
            <a:extLst>
              <a:ext uri="{FF2B5EF4-FFF2-40B4-BE49-F238E27FC236}">
                <a16:creationId xmlns:a16="http://schemas.microsoft.com/office/drawing/2014/main" xmlns="" id="{00000000-0008-0000-0100-0000FF01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chemeClr val="accent6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16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512" name="Fluxograma: Dados armazenados 511">
            <a:extLst>
              <a:ext uri="{FF2B5EF4-FFF2-40B4-BE49-F238E27FC236}">
                <a16:creationId xmlns:a16="http://schemas.microsoft.com/office/drawing/2014/main" xmlns="" id="{00000000-0008-0000-0100-00000002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chemeClr val="accent6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16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9</xdr:col>
      <xdr:colOff>371420</xdr:colOff>
      <xdr:row>8</xdr:row>
      <xdr:rowOff>137424</xdr:rowOff>
    </xdr:from>
    <xdr:to>
      <xdr:col>14</xdr:col>
      <xdr:colOff>108063</xdr:colOff>
      <xdr:row>11</xdr:row>
      <xdr:rowOff>105924</xdr:rowOff>
    </xdr:to>
    <xdr:grpSp>
      <xdr:nvGrpSpPr>
        <xdr:cNvPr id="517" name="Grupo 516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xmlns="" id="{00000000-0008-0000-0100-000005020000}"/>
            </a:ext>
          </a:extLst>
        </xdr:cNvPr>
        <xdr:cNvGrpSpPr/>
      </xdr:nvGrpSpPr>
      <xdr:grpSpPr>
        <a:xfrm>
          <a:off x="7972370" y="2861574"/>
          <a:ext cx="2784643" cy="540000"/>
          <a:chOff x="1164167" y="3323151"/>
          <a:chExt cx="3005656" cy="275183"/>
        </a:xfrm>
      </xdr:grpSpPr>
      <xdr:sp macro="" textlink="">
        <xdr:nvSpPr>
          <xdr:cNvPr id="518" name="Retângulo de cantos arredondados 517">
            <a:extLst>
              <a:ext uri="{FF2B5EF4-FFF2-40B4-BE49-F238E27FC236}">
                <a16:creationId xmlns:a16="http://schemas.microsoft.com/office/drawing/2014/main" xmlns="" id="{00000000-0008-0000-0100-00000602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MAC. QB / PINCEL</a:t>
            </a:r>
          </a:p>
        </xdr:txBody>
      </xdr:sp>
      <xdr:sp macro="" textlink="">
        <xdr:nvSpPr>
          <xdr:cNvPr id="519" name="Fluxograma: Dados armazenados 518">
            <a:extLst>
              <a:ext uri="{FF2B5EF4-FFF2-40B4-BE49-F238E27FC236}">
                <a16:creationId xmlns:a16="http://schemas.microsoft.com/office/drawing/2014/main" xmlns="" id="{00000000-0008-0000-0100-00000702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chemeClr val="accent6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16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520" name="Fluxograma: Dados armazenados 519">
            <a:extLst>
              <a:ext uri="{FF2B5EF4-FFF2-40B4-BE49-F238E27FC236}">
                <a16:creationId xmlns:a16="http://schemas.microsoft.com/office/drawing/2014/main" xmlns="" id="{00000000-0008-0000-0100-00000802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chemeClr val="accent6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16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9</xdr:col>
      <xdr:colOff>371420</xdr:colOff>
      <xdr:row>17</xdr:row>
      <xdr:rowOff>32396</xdr:rowOff>
    </xdr:from>
    <xdr:to>
      <xdr:col>14</xdr:col>
      <xdr:colOff>108063</xdr:colOff>
      <xdr:row>20</xdr:row>
      <xdr:rowOff>896</xdr:rowOff>
    </xdr:to>
    <xdr:grpSp>
      <xdr:nvGrpSpPr>
        <xdr:cNvPr id="521" name="Grupo 520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xmlns="" id="{00000000-0008-0000-0100-000009020000}"/>
            </a:ext>
          </a:extLst>
        </xdr:cNvPr>
        <xdr:cNvGrpSpPr/>
      </xdr:nvGrpSpPr>
      <xdr:grpSpPr>
        <a:xfrm>
          <a:off x="7972370" y="4471046"/>
          <a:ext cx="2784643" cy="540000"/>
          <a:chOff x="1164167" y="3323151"/>
          <a:chExt cx="3005656" cy="275183"/>
        </a:xfrm>
      </xdr:grpSpPr>
      <xdr:sp macro="" textlink="">
        <xdr:nvSpPr>
          <xdr:cNvPr id="522" name="Retângulo de cantos arredondados 521">
            <a:extLst>
              <a:ext uri="{FF2B5EF4-FFF2-40B4-BE49-F238E27FC236}">
                <a16:creationId xmlns:a16="http://schemas.microsoft.com/office/drawing/2014/main" xmlns="" id="{00000000-0008-0000-0100-00000A02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MICROLINE</a:t>
            </a:r>
          </a:p>
        </xdr:txBody>
      </xdr:sp>
      <xdr:sp macro="" textlink="">
        <xdr:nvSpPr>
          <xdr:cNvPr id="523" name="Fluxograma: Dados armazenados 522">
            <a:extLst>
              <a:ext uri="{FF2B5EF4-FFF2-40B4-BE49-F238E27FC236}">
                <a16:creationId xmlns:a16="http://schemas.microsoft.com/office/drawing/2014/main" xmlns="" id="{00000000-0008-0000-0100-00000B02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chemeClr val="accent6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16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524" name="Fluxograma: Dados armazenados 523">
            <a:extLst>
              <a:ext uri="{FF2B5EF4-FFF2-40B4-BE49-F238E27FC236}">
                <a16:creationId xmlns:a16="http://schemas.microsoft.com/office/drawing/2014/main" xmlns="" id="{00000000-0008-0000-0100-00000C02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chemeClr val="accent6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16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9</xdr:col>
      <xdr:colOff>371420</xdr:colOff>
      <xdr:row>25</xdr:row>
      <xdr:rowOff>117868</xdr:rowOff>
    </xdr:from>
    <xdr:to>
      <xdr:col>14</xdr:col>
      <xdr:colOff>108063</xdr:colOff>
      <xdr:row>28</xdr:row>
      <xdr:rowOff>86368</xdr:rowOff>
    </xdr:to>
    <xdr:grpSp>
      <xdr:nvGrpSpPr>
        <xdr:cNvPr id="529" name="Grupo 528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xmlns="" id="{00000000-0008-0000-0100-000011020000}"/>
            </a:ext>
          </a:extLst>
        </xdr:cNvPr>
        <xdr:cNvGrpSpPr/>
      </xdr:nvGrpSpPr>
      <xdr:grpSpPr>
        <a:xfrm>
          <a:off x="7972370" y="6080518"/>
          <a:ext cx="2784643" cy="540000"/>
          <a:chOff x="1164167" y="3323151"/>
          <a:chExt cx="3005656" cy="275183"/>
        </a:xfrm>
      </xdr:grpSpPr>
      <xdr:sp macro="" textlink="">
        <xdr:nvSpPr>
          <xdr:cNvPr id="530" name="Retângulo de cantos arredondados 529">
            <a:extLst>
              <a:ext uri="{FF2B5EF4-FFF2-40B4-BE49-F238E27FC236}">
                <a16:creationId xmlns:a16="http://schemas.microsoft.com/office/drawing/2014/main" xmlns="" id="{00000000-0008-0000-0100-00001202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PONTA</a:t>
            </a:r>
          </a:p>
        </xdr:txBody>
      </xdr:sp>
      <xdr:sp macro="" textlink="">
        <xdr:nvSpPr>
          <xdr:cNvPr id="531" name="Fluxograma: Dados armazenados 530">
            <a:extLst>
              <a:ext uri="{FF2B5EF4-FFF2-40B4-BE49-F238E27FC236}">
                <a16:creationId xmlns:a16="http://schemas.microsoft.com/office/drawing/2014/main" xmlns="" id="{00000000-0008-0000-0100-00001302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chemeClr val="accent6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16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532" name="Fluxograma: Dados armazenados 531">
            <a:extLst>
              <a:ext uri="{FF2B5EF4-FFF2-40B4-BE49-F238E27FC236}">
                <a16:creationId xmlns:a16="http://schemas.microsoft.com/office/drawing/2014/main" xmlns="" id="{00000000-0008-0000-0100-00001402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chemeClr val="accent6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16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9</xdr:col>
      <xdr:colOff>371420</xdr:colOff>
      <xdr:row>21</xdr:row>
      <xdr:rowOff>75132</xdr:rowOff>
    </xdr:from>
    <xdr:to>
      <xdr:col>14</xdr:col>
      <xdr:colOff>108063</xdr:colOff>
      <xdr:row>24</xdr:row>
      <xdr:rowOff>43632</xdr:rowOff>
    </xdr:to>
    <xdr:grpSp>
      <xdr:nvGrpSpPr>
        <xdr:cNvPr id="537" name="Grupo 536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xmlns="" id="{00000000-0008-0000-0100-000019020000}"/>
            </a:ext>
          </a:extLst>
        </xdr:cNvPr>
        <xdr:cNvGrpSpPr/>
      </xdr:nvGrpSpPr>
      <xdr:grpSpPr>
        <a:xfrm>
          <a:off x="7972370" y="5275782"/>
          <a:ext cx="2784643" cy="540000"/>
          <a:chOff x="1164167" y="3323151"/>
          <a:chExt cx="3005656" cy="275183"/>
        </a:xfrm>
      </xdr:grpSpPr>
      <xdr:sp macro="" textlink="">
        <xdr:nvSpPr>
          <xdr:cNvPr id="538" name="Retângulo de cantos arredondados 537">
            <a:extLst>
              <a:ext uri="{FF2B5EF4-FFF2-40B4-BE49-F238E27FC236}">
                <a16:creationId xmlns:a16="http://schemas.microsoft.com/office/drawing/2014/main" xmlns="" id="{00000000-0008-0000-0100-00001A02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PAVIO</a:t>
            </a:r>
          </a:p>
        </xdr:txBody>
      </xdr:sp>
      <xdr:sp macro="" textlink="">
        <xdr:nvSpPr>
          <xdr:cNvPr id="539" name="Fluxograma: Dados armazenados 538">
            <a:extLst>
              <a:ext uri="{FF2B5EF4-FFF2-40B4-BE49-F238E27FC236}">
                <a16:creationId xmlns:a16="http://schemas.microsoft.com/office/drawing/2014/main" xmlns="" id="{00000000-0008-0000-0100-00001B02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chemeClr val="accent6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16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540" name="Fluxograma: Dados armazenados 539">
            <a:extLst>
              <a:ext uri="{FF2B5EF4-FFF2-40B4-BE49-F238E27FC236}">
                <a16:creationId xmlns:a16="http://schemas.microsoft.com/office/drawing/2014/main" xmlns="" id="{00000000-0008-0000-0100-00001C02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chemeClr val="accent6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16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16</xdr:col>
      <xdr:colOff>376615</xdr:colOff>
      <xdr:row>1</xdr:row>
      <xdr:rowOff>86591</xdr:rowOff>
    </xdr:from>
    <xdr:to>
      <xdr:col>21</xdr:col>
      <xdr:colOff>113258</xdr:colOff>
      <xdr:row>3</xdr:row>
      <xdr:rowOff>245591</xdr:rowOff>
    </xdr:to>
    <xdr:grpSp>
      <xdr:nvGrpSpPr>
        <xdr:cNvPr id="553" name="Grupo 552">
          <a:extLst>
            <a:ext uri="{FF2B5EF4-FFF2-40B4-BE49-F238E27FC236}">
              <a16:creationId xmlns:a16="http://schemas.microsoft.com/office/drawing/2014/main" xmlns="" id="{00000000-0008-0000-0100-000029020000}"/>
            </a:ext>
          </a:extLst>
        </xdr:cNvPr>
        <xdr:cNvGrpSpPr/>
      </xdr:nvGrpSpPr>
      <xdr:grpSpPr>
        <a:xfrm>
          <a:off x="12244765" y="1210541"/>
          <a:ext cx="2784643" cy="540000"/>
          <a:chOff x="1164167" y="3323151"/>
          <a:chExt cx="3005656" cy="275183"/>
        </a:xfrm>
      </xdr:grpSpPr>
      <xdr:sp macro="" textlink="">
        <xdr:nvSpPr>
          <xdr:cNvPr id="554" name="Retângulo de cantos arredondados 553">
            <a:extLst>
              <a:ext uri="{FF2B5EF4-FFF2-40B4-BE49-F238E27FC236}">
                <a16:creationId xmlns:a16="http://schemas.microsoft.com/office/drawing/2014/main" xmlns="" id="{00000000-0008-0000-0100-00002A02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CORPO TECNICO</a:t>
            </a:r>
          </a:p>
        </xdr:txBody>
      </xdr:sp>
      <xdr:sp macro="" textlink="">
        <xdr:nvSpPr>
          <xdr:cNvPr id="555" name="Fluxograma: Dados armazenados 554">
            <a:extLst>
              <a:ext uri="{FF2B5EF4-FFF2-40B4-BE49-F238E27FC236}">
                <a16:creationId xmlns:a16="http://schemas.microsoft.com/office/drawing/2014/main" xmlns="" id="{00000000-0008-0000-0100-00002B02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rgbClr val="00B050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16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556" name="Fluxograma: Dados armazenados 555">
            <a:extLst>
              <a:ext uri="{FF2B5EF4-FFF2-40B4-BE49-F238E27FC236}">
                <a16:creationId xmlns:a16="http://schemas.microsoft.com/office/drawing/2014/main" xmlns="" id="{00000000-0008-0000-0100-00002C02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rgbClr val="00B050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16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16</xdr:col>
      <xdr:colOff>376615</xdr:colOff>
      <xdr:row>4</xdr:row>
      <xdr:rowOff>60054</xdr:rowOff>
    </xdr:from>
    <xdr:to>
      <xdr:col>21</xdr:col>
      <xdr:colOff>113258</xdr:colOff>
      <xdr:row>7</xdr:row>
      <xdr:rowOff>28554</xdr:rowOff>
    </xdr:to>
    <xdr:grpSp>
      <xdr:nvGrpSpPr>
        <xdr:cNvPr id="557" name="Grupo 556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xmlns="" id="{00000000-0008-0000-0100-00002D020000}"/>
            </a:ext>
          </a:extLst>
        </xdr:cNvPr>
        <xdr:cNvGrpSpPr/>
      </xdr:nvGrpSpPr>
      <xdr:grpSpPr>
        <a:xfrm>
          <a:off x="12244765" y="2022204"/>
          <a:ext cx="2784643" cy="540000"/>
          <a:chOff x="1164167" y="3323151"/>
          <a:chExt cx="3005656" cy="275183"/>
        </a:xfrm>
      </xdr:grpSpPr>
      <xdr:sp macro="" textlink="">
        <xdr:nvSpPr>
          <xdr:cNvPr id="558" name="Retângulo de cantos arredondados 557">
            <a:extLst>
              <a:ext uri="{FF2B5EF4-FFF2-40B4-BE49-F238E27FC236}">
                <a16:creationId xmlns:a16="http://schemas.microsoft.com/office/drawing/2014/main" xmlns="" id="{00000000-0008-0000-0100-00002E02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BOTÃO TECNICO</a:t>
            </a:r>
          </a:p>
        </xdr:txBody>
      </xdr:sp>
      <xdr:sp macro="" textlink="">
        <xdr:nvSpPr>
          <xdr:cNvPr id="559" name="Fluxograma: Dados armazenados 558">
            <a:extLst>
              <a:ext uri="{FF2B5EF4-FFF2-40B4-BE49-F238E27FC236}">
                <a16:creationId xmlns:a16="http://schemas.microsoft.com/office/drawing/2014/main" xmlns="" id="{00000000-0008-0000-0100-00002F02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rgbClr val="00B050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16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560" name="Fluxograma: Dados armazenados 559">
            <a:extLst>
              <a:ext uri="{FF2B5EF4-FFF2-40B4-BE49-F238E27FC236}">
                <a16:creationId xmlns:a16="http://schemas.microsoft.com/office/drawing/2014/main" xmlns="" id="{00000000-0008-0000-0100-00003002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rgbClr val="00B050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16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16</xdr:col>
      <xdr:colOff>376615</xdr:colOff>
      <xdr:row>12</xdr:row>
      <xdr:rowOff>145526</xdr:rowOff>
    </xdr:from>
    <xdr:to>
      <xdr:col>21</xdr:col>
      <xdr:colOff>113258</xdr:colOff>
      <xdr:row>15</xdr:row>
      <xdr:rowOff>114026</xdr:rowOff>
    </xdr:to>
    <xdr:grpSp>
      <xdr:nvGrpSpPr>
        <xdr:cNvPr id="561" name="Grupo 560">
          <a:extLst>
            <a:ext uri="{FF2B5EF4-FFF2-40B4-BE49-F238E27FC236}">
              <a16:creationId xmlns:a16="http://schemas.microsoft.com/office/drawing/2014/main" xmlns="" id="{00000000-0008-0000-0100-000031020000}"/>
            </a:ext>
          </a:extLst>
        </xdr:cNvPr>
        <xdr:cNvGrpSpPr/>
      </xdr:nvGrpSpPr>
      <xdr:grpSpPr>
        <a:xfrm>
          <a:off x="12244765" y="3631676"/>
          <a:ext cx="2784643" cy="540000"/>
          <a:chOff x="1164167" y="3323151"/>
          <a:chExt cx="3005656" cy="275183"/>
        </a:xfrm>
      </xdr:grpSpPr>
      <xdr:sp macro="" textlink="">
        <xdr:nvSpPr>
          <xdr:cNvPr id="562" name="Retângulo de cantos arredondados 561">
            <a:extLst>
              <a:ext uri="{FF2B5EF4-FFF2-40B4-BE49-F238E27FC236}">
                <a16:creationId xmlns:a16="http://schemas.microsoft.com/office/drawing/2014/main" xmlns="" id="{00000000-0008-0000-0100-00003202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MECANISMO TECNICO</a:t>
            </a:r>
          </a:p>
        </xdr:txBody>
      </xdr:sp>
      <xdr:sp macro="" textlink="">
        <xdr:nvSpPr>
          <xdr:cNvPr id="563" name="Fluxograma: Dados armazenados 562">
            <a:extLst>
              <a:ext uri="{FF2B5EF4-FFF2-40B4-BE49-F238E27FC236}">
                <a16:creationId xmlns:a16="http://schemas.microsoft.com/office/drawing/2014/main" xmlns="" id="{00000000-0008-0000-0100-00003302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rgbClr val="00B050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16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564" name="Fluxograma: Dados armazenados 563">
            <a:extLst>
              <a:ext uri="{FF2B5EF4-FFF2-40B4-BE49-F238E27FC236}">
                <a16:creationId xmlns:a16="http://schemas.microsoft.com/office/drawing/2014/main" xmlns="" id="{00000000-0008-0000-0100-00003402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rgbClr val="00B050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16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16</xdr:col>
      <xdr:colOff>376615</xdr:colOff>
      <xdr:row>8</xdr:row>
      <xdr:rowOff>102790</xdr:rowOff>
    </xdr:from>
    <xdr:to>
      <xdr:col>21</xdr:col>
      <xdr:colOff>113258</xdr:colOff>
      <xdr:row>11</xdr:row>
      <xdr:rowOff>71290</xdr:rowOff>
    </xdr:to>
    <xdr:grpSp>
      <xdr:nvGrpSpPr>
        <xdr:cNvPr id="569" name="Grupo 568">
          <a:extLst>
            <a:ext uri="{FF2B5EF4-FFF2-40B4-BE49-F238E27FC236}">
              <a16:creationId xmlns:a16="http://schemas.microsoft.com/office/drawing/2014/main" xmlns="" id="{00000000-0008-0000-0100-000039020000}"/>
            </a:ext>
          </a:extLst>
        </xdr:cNvPr>
        <xdr:cNvGrpSpPr/>
      </xdr:nvGrpSpPr>
      <xdr:grpSpPr>
        <a:xfrm>
          <a:off x="12244765" y="2826940"/>
          <a:ext cx="2784643" cy="540000"/>
          <a:chOff x="1164167" y="3323151"/>
          <a:chExt cx="3005656" cy="275183"/>
        </a:xfrm>
      </xdr:grpSpPr>
      <xdr:sp macro="" textlink="">
        <xdr:nvSpPr>
          <xdr:cNvPr id="570" name="Retângulo de cantos arredondados 569">
            <a:extLst>
              <a:ext uri="{FF2B5EF4-FFF2-40B4-BE49-F238E27FC236}">
                <a16:creationId xmlns:a16="http://schemas.microsoft.com/office/drawing/2014/main" xmlns="" id="{00000000-0008-0000-0100-00003A02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DIANTEIRAT</a:t>
            </a:r>
            <a:r>
              <a:rPr lang="pt-BR" sz="1600" b="1" baseline="0">
                <a:solidFill>
                  <a:schemeClr val="tx1"/>
                </a:solidFill>
              </a:rPr>
              <a:t> TEC.</a:t>
            </a:r>
            <a:endParaRPr lang="pt-BR" sz="1600" b="1">
              <a:solidFill>
                <a:schemeClr val="tx1"/>
              </a:solidFill>
            </a:endParaRPr>
          </a:p>
        </xdr:txBody>
      </xdr:sp>
      <xdr:sp macro="" textlink="">
        <xdr:nvSpPr>
          <xdr:cNvPr id="571" name="Fluxograma: Dados armazenados 570">
            <a:extLst>
              <a:ext uri="{FF2B5EF4-FFF2-40B4-BE49-F238E27FC236}">
                <a16:creationId xmlns:a16="http://schemas.microsoft.com/office/drawing/2014/main" xmlns="" id="{00000000-0008-0000-0100-00003B02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rgbClr val="00B050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16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572" name="Fluxograma: Dados armazenados 571">
            <a:extLst>
              <a:ext uri="{FF2B5EF4-FFF2-40B4-BE49-F238E27FC236}">
                <a16:creationId xmlns:a16="http://schemas.microsoft.com/office/drawing/2014/main" xmlns="" id="{00000000-0008-0000-0100-00003C02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rgbClr val="00B050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16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23</xdr:col>
      <xdr:colOff>381810</xdr:colOff>
      <xdr:row>1</xdr:row>
      <xdr:rowOff>97847</xdr:rowOff>
    </xdr:from>
    <xdr:to>
      <xdr:col>27</xdr:col>
      <xdr:colOff>378226</xdr:colOff>
      <xdr:row>3</xdr:row>
      <xdr:rowOff>256847</xdr:rowOff>
    </xdr:to>
    <xdr:grpSp>
      <xdr:nvGrpSpPr>
        <xdr:cNvPr id="605" name="Grupo 604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xmlns="" id="{00000000-0008-0000-0100-00005D020000}"/>
            </a:ext>
          </a:extLst>
        </xdr:cNvPr>
        <xdr:cNvGrpSpPr/>
      </xdr:nvGrpSpPr>
      <xdr:grpSpPr>
        <a:xfrm>
          <a:off x="16517160" y="1221797"/>
          <a:ext cx="2777716" cy="540000"/>
          <a:chOff x="1164167" y="3323151"/>
          <a:chExt cx="3005656" cy="275183"/>
        </a:xfrm>
      </xdr:grpSpPr>
      <xdr:sp macro="" textlink="">
        <xdr:nvSpPr>
          <xdr:cNvPr id="606" name="Retângulo de cantos arredondados 605">
            <a:extLst>
              <a:ext uri="{FF2B5EF4-FFF2-40B4-BE49-F238E27FC236}">
                <a16:creationId xmlns:a16="http://schemas.microsoft.com/office/drawing/2014/main" xmlns="" id="{00000000-0008-0000-0100-00005E02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TAMPA</a:t>
            </a:r>
          </a:p>
        </xdr:txBody>
      </xdr:sp>
      <xdr:sp macro="" textlink="">
        <xdr:nvSpPr>
          <xdr:cNvPr id="607" name="Fluxograma: Dados armazenados 606">
            <a:extLst>
              <a:ext uri="{FF2B5EF4-FFF2-40B4-BE49-F238E27FC236}">
                <a16:creationId xmlns:a16="http://schemas.microsoft.com/office/drawing/2014/main" xmlns="" id="{00000000-0008-0000-0100-00005F02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rgbClr val="FF0000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16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608" name="Fluxograma: Dados armazenados 607">
            <a:extLst>
              <a:ext uri="{FF2B5EF4-FFF2-40B4-BE49-F238E27FC236}">
                <a16:creationId xmlns:a16="http://schemas.microsoft.com/office/drawing/2014/main" xmlns="" id="{00000000-0008-0000-0100-00006002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rgbClr val="FF0000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16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23</xdr:col>
      <xdr:colOff>381810</xdr:colOff>
      <xdr:row>4</xdr:row>
      <xdr:rowOff>71310</xdr:rowOff>
    </xdr:from>
    <xdr:to>
      <xdr:col>27</xdr:col>
      <xdr:colOff>378226</xdr:colOff>
      <xdr:row>7</xdr:row>
      <xdr:rowOff>39810</xdr:rowOff>
    </xdr:to>
    <xdr:grpSp>
      <xdr:nvGrpSpPr>
        <xdr:cNvPr id="609" name="Grupo 608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xmlns="" id="{00000000-0008-0000-0100-000061020000}"/>
            </a:ext>
          </a:extLst>
        </xdr:cNvPr>
        <xdr:cNvGrpSpPr/>
      </xdr:nvGrpSpPr>
      <xdr:grpSpPr>
        <a:xfrm>
          <a:off x="16517160" y="2033460"/>
          <a:ext cx="2777716" cy="540000"/>
          <a:chOff x="1164167" y="3323151"/>
          <a:chExt cx="3005656" cy="275183"/>
        </a:xfrm>
      </xdr:grpSpPr>
      <xdr:sp macro="" textlink="">
        <xdr:nvSpPr>
          <xdr:cNvPr id="610" name="Retângulo de cantos arredondados 609">
            <a:extLst>
              <a:ext uri="{FF2B5EF4-FFF2-40B4-BE49-F238E27FC236}">
                <a16:creationId xmlns:a16="http://schemas.microsoft.com/office/drawing/2014/main" xmlns="" id="{00000000-0008-0000-0100-00006202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BICO</a:t>
            </a:r>
          </a:p>
        </xdr:txBody>
      </xdr:sp>
      <xdr:sp macro="" textlink="">
        <xdr:nvSpPr>
          <xdr:cNvPr id="611" name="Fluxograma: Dados armazenados 610">
            <a:extLst>
              <a:ext uri="{FF2B5EF4-FFF2-40B4-BE49-F238E27FC236}">
                <a16:creationId xmlns:a16="http://schemas.microsoft.com/office/drawing/2014/main" xmlns="" id="{00000000-0008-0000-0100-00006302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rgbClr val="FF0000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16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612" name="Fluxograma: Dados armazenados 611">
            <a:extLst>
              <a:ext uri="{FF2B5EF4-FFF2-40B4-BE49-F238E27FC236}">
                <a16:creationId xmlns:a16="http://schemas.microsoft.com/office/drawing/2014/main" xmlns="" id="{00000000-0008-0000-0100-00006402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rgbClr val="FF0000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16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23</xdr:col>
      <xdr:colOff>381810</xdr:colOff>
      <xdr:row>12</xdr:row>
      <xdr:rowOff>159380</xdr:rowOff>
    </xdr:from>
    <xdr:to>
      <xdr:col>27</xdr:col>
      <xdr:colOff>378226</xdr:colOff>
      <xdr:row>15</xdr:row>
      <xdr:rowOff>127880</xdr:rowOff>
    </xdr:to>
    <xdr:grpSp>
      <xdr:nvGrpSpPr>
        <xdr:cNvPr id="613" name="Grupo 612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xmlns="" id="{00000000-0008-0000-0100-000065020000}"/>
            </a:ext>
          </a:extLst>
        </xdr:cNvPr>
        <xdr:cNvGrpSpPr/>
      </xdr:nvGrpSpPr>
      <xdr:grpSpPr>
        <a:xfrm>
          <a:off x="16517160" y="3645530"/>
          <a:ext cx="2777716" cy="540000"/>
          <a:chOff x="1164167" y="3323151"/>
          <a:chExt cx="3005656" cy="275183"/>
        </a:xfrm>
      </xdr:grpSpPr>
      <xdr:sp macro="" textlink="">
        <xdr:nvSpPr>
          <xdr:cNvPr id="614" name="Retângulo de cantos arredondados 613">
            <a:extLst>
              <a:ext uri="{FF2B5EF4-FFF2-40B4-BE49-F238E27FC236}">
                <a16:creationId xmlns:a16="http://schemas.microsoft.com/office/drawing/2014/main" xmlns="" id="{00000000-0008-0000-0100-00006602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FRASCO 500g</a:t>
            </a:r>
          </a:p>
        </xdr:txBody>
      </xdr:sp>
      <xdr:sp macro="" textlink="">
        <xdr:nvSpPr>
          <xdr:cNvPr id="615" name="Fluxograma: Dados armazenados 614">
            <a:extLst>
              <a:ext uri="{FF2B5EF4-FFF2-40B4-BE49-F238E27FC236}">
                <a16:creationId xmlns:a16="http://schemas.microsoft.com/office/drawing/2014/main" xmlns="" id="{00000000-0008-0000-0100-00006702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rgbClr val="FF0000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16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616" name="Fluxograma: Dados armazenados 615">
            <a:extLst>
              <a:ext uri="{FF2B5EF4-FFF2-40B4-BE49-F238E27FC236}">
                <a16:creationId xmlns:a16="http://schemas.microsoft.com/office/drawing/2014/main" xmlns="" id="{00000000-0008-0000-0100-00006802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rgbClr val="FF0000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16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23</xdr:col>
      <xdr:colOff>381810</xdr:colOff>
      <xdr:row>8</xdr:row>
      <xdr:rowOff>116644</xdr:rowOff>
    </xdr:from>
    <xdr:to>
      <xdr:col>27</xdr:col>
      <xdr:colOff>378226</xdr:colOff>
      <xdr:row>11</xdr:row>
      <xdr:rowOff>85144</xdr:rowOff>
    </xdr:to>
    <xdr:grpSp>
      <xdr:nvGrpSpPr>
        <xdr:cNvPr id="621" name="Grupo 620">
          <a:extLst>
            <a:ext uri="{FF2B5EF4-FFF2-40B4-BE49-F238E27FC236}">
              <a16:creationId xmlns:a16="http://schemas.microsoft.com/office/drawing/2014/main" xmlns="" id="{00000000-0008-0000-0100-00006D020000}"/>
            </a:ext>
          </a:extLst>
        </xdr:cNvPr>
        <xdr:cNvGrpSpPr/>
      </xdr:nvGrpSpPr>
      <xdr:grpSpPr>
        <a:xfrm>
          <a:off x="16517160" y="2840794"/>
          <a:ext cx="2777716" cy="540000"/>
          <a:chOff x="1164167" y="3323151"/>
          <a:chExt cx="3005656" cy="275183"/>
        </a:xfrm>
      </xdr:grpSpPr>
      <xdr:sp macro="" textlink="">
        <xdr:nvSpPr>
          <xdr:cNvPr id="622" name="Retângulo de cantos arredondados 621">
            <a:extLst>
              <a:ext uri="{FF2B5EF4-FFF2-40B4-BE49-F238E27FC236}">
                <a16:creationId xmlns:a16="http://schemas.microsoft.com/office/drawing/2014/main" xmlns="" id="{00000000-0008-0000-0100-00006E02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FRASCO 250g</a:t>
            </a:r>
          </a:p>
        </xdr:txBody>
      </xdr:sp>
      <xdr:sp macro="" textlink="">
        <xdr:nvSpPr>
          <xdr:cNvPr id="623" name="Fluxograma: Dados armazenados 622">
            <a:extLst>
              <a:ext uri="{FF2B5EF4-FFF2-40B4-BE49-F238E27FC236}">
                <a16:creationId xmlns:a16="http://schemas.microsoft.com/office/drawing/2014/main" xmlns="" id="{00000000-0008-0000-0100-00006F02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rgbClr val="FF0000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16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624" name="Fluxograma: Dados armazenados 623">
            <a:extLst>
              <a:ext uri="{FF2B5EF4-FFF2-40B4-BE49-F238E27FC236}">
                <a16:creationId xmlns:a16="http://schemas.microsoft.com/office/drawing/2014/main" xmlns="" id="{00000000-0008-0000-0100-00007002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rgbClr val="FF0000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16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23</xdr:col>
      <xdr:colOff>381810</xdr:colOff>
      <xdr:row>17</xdr:row>
      <xdr:rowOff>11616</xdr:rowOff>
    </xdr:from>
    <xdr:to>
      <xdr:col>27</xdr:col>
      <xdr:colOff>378226</xdr:colOff>
      <xdr:row>19</xdr:row>
      <xdr:rowOff>170616</xdr:rowOff>
    </xdr:to>
    <xdr:grpSp>
      <xdr:nvGrpSpPr>
        <xdr:cNvPr id="625" name="Grupo 624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xmlns="" id="{00000000-0008-0000-0100-000071020000}"/>
            </a:ext>
          </a:extLst>
        </xdr:cNvPr>
        <xdr:cNvGrpSpPr/>
      </xdr:nvGrpSpPr>
      <xdr:grpSpPr>
        <a:xfrm>
          <a:off x="16517160" y="4450266"/>
          <a:ext cx="2777716" cy="540000"/>
          <a:chOff x="1164167" y="3323151"/>
          <a:chExt cx="3005656" cy="275183"/>
        </a:xfrm>
      </xdr:grpSpPr>
      <xdr:sp macro="" textlink="">
        <xdr:nvSpPr>
          <xdr:cNvPr id="626" name="Retângulo de cantos arredondados 625">
            <a:extLst>
              <a:ext uri="{FF2B5EF4-FFF2-40B4-BE49-F238E27FC236}">
                <a16:creationId xmlns:a16="http://schemas.microsoft.com/office/drawing/2014/main" xmlns="" id="{00000000-0008-0000-0100-00007202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FRASCO 1000g</a:t>
            </a:r>
          </a:p>
        </xdr:txBody>
      </xdr:sp>
      <xdr:sp macro="" textlink="">
        <xdr:nvSpPr>
          <xdr:cNvPr id="627" name="Fluxograma: Dados armazenados 626">
            <a:extLst>
              <a:ext uri="{FF2B5EF4-FFF2-40B4-BE49-F238E27FC236}">
                <a16:creationId xmlns:a16="http://schemas.microsoft.com/office/drawing/2014/main" xmlns="" id="{00000000-0008-0000-0100-00007302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rgbClr val="FF0000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16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628" name="Fluxograma: Dados armazenados 627">
            <a:extLst>
              <a:ext uri="{FF2B5EF4-FFF2-40B4-BE49-F238E27FC236}">
                <a16:creationId xmlns:a16="http://schemas.microsoft.com/office/drawing/2014/main" xmlns="" id="{00000000-0008-0000-0100-00007402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rgbClr val="FF0000"/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16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30</xdr:col>
      <xdr:colOff>40642</xdr:colOff>
      <xdr:row>1</xdr:row>
      <xdr:rowOff>131617</xdr:rowOff>
    </xdr:from>
    <xdr:to>
      <xdr:col>32</xdr:col>
      <xdr:colOff>1422513</xdr:colOff>
      <xdr:row>3</xdr:row>
      <xdr:rowOff>290617</xdr:rowOff>
    </xdr:to>
    <xdr:grpSp>
      <xdr:nvGrpSpPr>
        <xdr:cNvPr id="657" name="Grupo 656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xmlns="" id="{00000000-0008-0000-0100-000091020000}"/>
            </a:ext>
          </a:extLst>
        </xdr:cNvPr>
        <xdr:cNvGrpSpPr/>
      </xdr:nvGrpSpPr>
      <xdr:grpSpPr>
        <a:xfrm>
          <a:off x="20786092" y="1255567"/>
          <a:ext cx="2772521" cy="540000"/>
          <a:chOff x="1164167" y="3323151"/>
          <a:chExt cx="3005656" cy="275183"/>
        </a:xfrm>
      </xdr:grpSpPr>
      <xdr:sp macro="" textlink="">
        <xdr:nvSpPr>
          <xdr:cNvPr id="658" name="Retângulo de cantos arredondados 657">
            <a:extLst>
              <a:ext uri="{FF2B5EF4-FFF2-40B4-BE49-F238E27FC236}">
                <a16:creationId xmlns:a16="http://schemas.microsoft.com/office/drawing/2014/main" xmlns="" id="{00000000-0008-0000-0100-00009202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TAMPA REAB. Q.B</a:t>
            </a:r>
          </a:p>
        </xdr:txBody>
      </xdr:sp>
      <xdr:sp macro="" textlink="">
        <xdr:nvSpPr>
          <xdr:cNvPr id="659" name="Fluxograma: Dados armazenados 658">
            <a:extLst>
              <a:ext uri="{FF2B5EF4-FFF2-40B4-BE49-F238E27FC236}">
                <a16:creationId xmlns:a16="http://schemas.microsoft.com/office/drawing/2014/main" xmlns="" id="{00000000-0008-0000-0100-00009302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chemeClr val="accent4">
              <a:lumMod val="75000"/>
            </a:schemeClr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16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660" name="Fluxograma: Dados armazenados 659">
            <a:extLst>
              <a:ext uri="{FF2B5EF4-FFF2-40B4-BE49-F238E27FC236}">
                <a16:creationId xmlns:a16="http://schemas.microsoft.com/office/drawing/2014/main" xmlns="" id="{00000000-0008-0000-0100-00009402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chemeClr val="accent4">
              <a:lumMod val="75000"/>
            </a:schemeClr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16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30</xdr:col>
      <xdr:colOff>40642</xdr:colOff>
      <xdr:row>4</xdr:row>
      <xdr:rowOff>105080</xdr:rowOff>
    </xdr:from>
    <xdr:to>
      <xdr:col>32</xdr:col>
      <xdr:colOff>1422513</xdr:colOff>
      <xdr:row>7</xdr:row>
      <xdr:rowOff>73580</xdr:rowOff>
    </xdr:to>
    <xdr:grpSp>
      <xdr:nvGrpSpPr>
        <xdr:cNvPr id="661" name="Grupo 660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xmlns="" id="{00000000-0008-0000-0100-000095020000}"/>
            </a:ext>
          </a:extLst>
        </xdr:cNvPr>
        <xdr:cNvGrpSpPr/>
      </xdr:nvGrpSpPr>
      <xdr:grpSpPr>
        <a:xfrm>
          <a:off x="20786092" y="2067230"/>
          <a:ext cx="2772521" cy="540000"/>
          <a:chOff x="1164167" y="3323151"/>
          <a:chExt cx="3005656" cy="275183"/>
        </a:xfrm>
      </xdr:grpSpPr>
      <xdr:sp macro="" textlink="">
        <xdr:nvSpPr>
          <xdr:cNvPr id="662" name="Retângulo de cantos arredondados 661">
            <a:extLst>
              <a:ext uri="{FF2B5EF4-FFF2-40B4-BE49-F238E27FC236}">
                <a16:creationId xmlns:a16="http://schemas.microsoft.com/office/drawing/2014/main" xmlns="" id="{00000000-0008-0000-0100-00009602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TAMPA REAB. PINCEL</a:t>
            </a:r>
          </a:p>
        </xdr:txBody>
      </xdr:sp>
      <xdr:sp macro="" textlink="">
        <xdr:nvSpPr>
          <xdr:cNvPr id="663" name="Fluxograma: Dados armazenados 662">
            <a:extLst>
              <a:ext uri="{FF2B5EF4-FFF2-40B4-BE49-F238E27FC236}">
                <a16:creationId xmlns:a16="http://schemas.microsoft.com/office/drawing/2014/main" xmlns="" id="{00000000-0008-0000-0100-00009702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chemeClr val="accent4">
              <a:lumMod val="75000"/>
            </a:schemeClr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16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664" name="Fluxograma: Dados armazenados 663">
            <a:extLst>
              <a:ext uri="{FF2B5EF4-FFF2-40B4-BE49-F238E27FC236}">
                <a16:creationId xmlns:a16="http://schemas.microsoft.com/office/drawing/2014/main" xmlns="" id="{00000000-0008-0000-0100-00009802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chemeClr val="accent4">
              <a:lumMod val="75000"/>
            </a:schemeClr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16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30</xdr:col>
      <xdr:colOff>40642</xdr:colOff>
      <xdr:row>13</xdr:row>
      <xdr:rowOff>52</xdr:rowOff>
    </xdr:from>
    <xdr:to>
      <xdr:col>32</xdr:col>
      <xdr:colOff>1422513</xdr:colOff>
      <xdr:row>15</xdr:row>
      <xdr:rowOff>159052</xdr:rowOff>
    </xdr:to>
    <xdr:grpSp>
      <xdr:nvGrpSpPr>
        <xdr:cNvPr id="665" name="Grupo 664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xmlns="" id="{00000000-0008-0000-0100-000099020000}"/>
            </a:ext>
          </a:extLst>
        </xdr:cNvPr>
        <xdr:cNvGrpSpPr/>
      </xdr:nvGrpSpPr>
      <xdr:grpSpPr>
        <a:xfrm>
          <a:off x="20786092" y="3676702"/>
          <a:ext cx="2772521" cy="540000"/>
          <a:chOff x="1164167" y="3323151"/>
          <a:chExt cx="3005656" cy="275183"/>
        </a:xfrm>
      </xdr:grpSpPr>
      <xdr:sp macro="" textlink="">
        <xdr:nvSpPr>
          <xdr:cNvPr id="666" name="Retângulo de cantos arredondados 665">
            <a:extLst>
              <a:ext uri="{FF2B5EF4-FFF2-40B4-BE49-F238E27FC236}">
                <a16:creationId xmlns:a16="http://schemas.microsoft.com/office/drawing/2014/main" xmlns="" id="{00000000-0008-0000-0100-00009A02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BICO</a:t>
            </a:r>
            <a:r>
              <a:rPr lang="pt-BR" sz="1600" b="1" baseline="0">
                <a:solidFill>
                  <a:schemeClr val="tx1"/>
                </a:solidFill>
              </a:rPr>
              <a:t> PARA REAB.</a:t>
            </a:r>
            <a:endParaRPr lang="pt-BR" sz="1600" b="1">
              <a:solidFill>
                <a:schemeClr val="tx1"/>
              </a:solidFill>
            </a:endParaRPr>
          </a:p>
        </xdr:txBody>
      </xdr:sp>
      <xdr:sp macro="" textlink="">
        <xdr:nvSpPr>
          <xdr:cNvPr id="667" name="Fluxograma: Dados armazenados 666">
            <a:extLst>
              <a:ext uri="{FF2B5EF4-FFF2-40B4-BE49-F238E27FC236}">
                <a16:creationId xmlns:a16="http://schemas.microsoft.com/office/drawing/2014/main" xmlns="" id="{00000000-0008-0000-0100-00009B02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chemeClr val="accent4">
              <a:lumMod val="75000"/>
            </a:schemeClr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16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668" name="Fluxograma: Dados armazenados 667">
            <a:extLst>
              <a:ext uri="{FF2B5EF4-FFF2-40B4-BE49-F238E27FC236}">
                <a16:creationId xmlns:a16="http://schemas.microsoft.com/office/drawing/2014/main" xmlns="" id="{00000000-0008-0000-0100-00009C02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chemeClr val="accent4">
              <a:lumMod val="75000"/>
            </a:schemeClr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16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30</xdr:col>
      <xdr:colOff>40642</xdr:colOff>
      <xdr:row>8</xdr:row>
      <xdr:rowOff>147816</xdr:rowOff>
    </xdr:from>
    <xdr:to>
      <xdr:col>32</xdr:col>
      <xdr:colOff>1422513</xdr:colOff>
      <xdr:row>11</xdr:row>
      <xdr:rowOff>116316</xdr:rowOff>
    </xdr:to>
    <xdr:grpSp>
      <xdr:nvGrpSpPr>
        <xdr:cNvPr id="673" name="Grupo 672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xmlns="" id="{00000000-0008-0000-0100-0000A1020000}"/>
            </a:ext>
          </a:extLst>
        </xdr:cNvPr>
        <xdr:cNvGrpSpPr/>
      </xdr:nvGrpSpPr>
      <xdr:grpSpPr>
        <a:xfrm>
          <a:off x="20786092" y="2871966"/>
          <a:ext cx="2772521" cy="540000"/>
          <a:chOff x="1164167" y="3323151"/>
          <a:chExt cx="3005656" cy="275183"/>
        </a:xfrm>
      </xdr:grpSpPr>
      <xdr:sp macro="" textlink="">
        <xdr:nvSpPr>
          <xdr:cNvPr id="674" name="Retângulo de cantos arredondados 673">
            <a:extLst>
              <a:ext uri="{FF2B5EF4-FFF2-40B4-BE49-F238E27FC236}">
                <a16:creationId xmlns:a16="http://schemas.microsoft.com/office/drawing/2014/main" xmlns="" id="{00000000-0008-0000-0100-0000A2020000}"/>
              </a:ext>
            </a:extLst>
          </xdr:cNvPr>
          <xdr:cNvSpPr/>
        </xdr:nvSpPr>
        <xdr:spPr>
          <a:xfrm>
            <a:off x="1566287" y="3323151"/>
            <a:ext cx="2275417" cy="273600"/>
          </a:xfrm>
          <a:prstGeom prst="roundRect">
            <a:avLst/>
          </a:prstGeom>
          <a:gradFill flip="none" rotWithShape="1">
            <a:gsLst>
              <a:gs pos="93000">
                <a:schemeClr val="bg1">
                  <a:lumMod val="85000"/>
                </a:schemeClr>
              </a:gs>
              <a:gs pos="52000">
                <a:schemeClr val="bg1">
                  <a:lumMod val="75000"/>
                </a:schemeClr>
              </a:gs>
              <a:gs pos="32000">
                <a:schemeClr val="bg1">
                  <a:lumMod val="65000"/>
                </a:schemeClr>
              </a:gs>
            </a:gsLst>
            <a:lin ang="16200000" scaled="1"/>
            <a:tileRect/>
          </a:gra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FRASCO DE 40mL</a:t>
            </a:r>
          </a:p>
        </xdr:txBody>
      </xdr:sp>
      <xdr:sp macro="" textlink="">
        <xdr:nvSpPr>
          <xdr:cNvPr id="675" name="Fluxograma: Dados armazenados 674">
            <a:extLst>
              <a:ext uri="{FF2B5EF4-FFF2-40B4-BE49-F238E27FC236}">
                <a16:creationId xmlns:a16="http://schemas.microsoft.com/office/drawing/2014/main" xmlns="" id="{00000000-0008-0000-0100-0000A3020000}"/>
              </a:ext>
            </a:extLst>
          </xdr:cNvPr>
          <xdr:cNvSpPr/>
        </xdr:nvSpPr>
        <xdr:spPr>
          <a:xfrm>
            <a:off x="1164167" y="3323167"/>
            <a:ext cx="624416" cy="275166"/>
          </a:xfrm>
          <a:prstGeom prst="flowChartOnlineStorage">
            <a:avLst/>
          </a:prstGeom>
          <a:solidFill>
            <a:schemeClr val="accent4">
              <a:lumMod val="75000"/>
            </a:schemeClr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endParaRPr lang="pt-BR" sz="16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676" name="Fluxograma: Dados armazenados 675">
            <a:extLst>
              <a:ext uri="{FF2B5EF4-FFF2-40B4-BE49-F238E27FC236}">
                <a16:creationId xmlns:a16="http://schemas.microsoft.com/office/drawing/2014/main" xmlns="" id="{00000000-0008-0000-0100-0000A4020000}"/>
              </a:ext>
            </a:extLst>
          </xdr:cNvPr>
          <xdr:cNvSpPr/>
        </xdr:nvSpPr>
        <xdr:spPr>
          <a:xfrm flipH="1">
            <a:off x="3545407" y="3323168"/>
            <a:ext cx="624416" cy="275166"/>
          </a:xfrm>
          <a:prstGeom prst="flowChartOnlineStorage">
            <a:avLst/>
          </a:prstGeom>
          <a:solidFill>
            <a:schemeClr val="accent4">
              <a:lumMod val="75000"/>
            </a:schemeClr>
          </a:solidFill>
          <a:ln>
            <a:solidFill>
              <a:schemeClr val="tx1">
                <a:lumMod val="65000"/>
                <a:lumOff val="35000"/>
              </a:schemeClr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180000" rIns="36000" bIns="180000" rtlCol="0" anchor="ctr"/>
          <a:lstStyle/>
          <a:p>
            <a:pPr algn="ctr"/>
            <a:r>
              <a:rPr lang="pt-BR" sz="1600" b="1">
                <a:latin typeface="Arial" pitchFamily="34" charset="0"/>
                <a:cs typeface="Arial" pitchFamily="34" charset="0"/>
              </a:rPr>
              <a:t>  </a:t>
            </a:r>
          </a:p>
        </xdr:txBody>
      </xdr:sp>
    </xdr:grpSp>
    <xdr:clientData/>
  </xdr:twoCellAnchor>
  <xdr:twoCellAnchor>
    <xdr:from>
      <xdr:col>15</xdr:col>
      <xdr:colOff>323848</xdr:colOff>
      <xdr:row>0</xdr:row>
      <xdr:rowOff>197103</xdr:rowOff>
    </xdr:from>
    <xdr:to>
      <xdr:col>15</xdr:col>
      <xdr:colOff>444013</xdr:colOff>
      <xdr:row>51</xdr:row>
      <xdr:rowOff>182365</xdr:rowOff>
    </xdr:to>
    <xdr:sp macro="" textlink="">
      <xdr:nvSpPr>
        <xdr:cNvPr id="323" name="Retângulo 322">
          <a:extLst>
            <a:ext uri="{FF2B5EF4-FFF2-40B4-BE49-F238E27FC236}">
              <a16:creationId xmlns:a16="http://schemas.microsoft.com/office/drawing/2014/main" xmlns="" id="{00000000-0008-0000-0100-000043010000}"/>
            </a:ext>
          </a:extLst>
        </xdr:cNvPr>
        <xdr:cNvSpPr/>
      </xdr:nvSpPr>
      <xdr:spPr>
        <a:xfrm>
          <a:off x="11582398" y="197103"/>
          <a:ext cx="120165" cy="10900912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28</xdr:col>
      <xdr:colOff>495298</xdr:colOff>
      <xdr:row>0</xdr:row>
      <xdr:rowOff>181564</xdr:rowOff>
    </xdr:from>
    <xdr:to>
      <xdr:col>29</xdr:col>
      <xdr:colOff>5863</xdr:colOff>
      <xdr:row>51</xdr:row>
      <xdr:rowOff>166826</xdr:rowOff>
    </xdr:to>
    <xdr:sp macro="" textlink="">
      <xdr:nvSpPr>
        <xdr:cNvPr id="324" name="Retângulo 323">
          <a:extLst>
            <a:ext uri="{FF2B5EF4-FFF2-40B4-BE49-F238E27FC236}">
              <a16:creationId xmlns:a16="http://schemas.microsoft.com/office/drawing/2014/main" xmlns="" id="{00000000-0008-0000-0100-000044010000}"/>
            </a:ext>
          </a:extLst>
        </xdr:cNvPr>
        <xdr:cNvSpPr/>
      </xdr:nvSpPr>
      <xdr:spPr>
        <a:xfrm>
          <a:off x="20021548" y="181564"/>
          <a:ext cx="120165" cy="10900912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598911</xdr:colOff>
      <xdr:row>0</xdr:row>
      <xdr:rowOff>652707</xdr:rowOff>
    </xdr:from>
    <xdr:to>
      <xdr:col>10</xdr:col>
      <xdr:colOff>99951</xdr:colOff>
      <xdr:row>53</xdr:row>
      <xdr:rowOff>114008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8242724" y="652707"/>
          <a:ext cx="120165" cy="10748426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rgbClr val="0F0D24"/>
            </a:solidFill>
          </a:endParaRPr>
        </a:p>
      </xdr:txBody>
    </xdr:sp>
    <xdr:clientData/>
  </xdr:twoCellAnchor>
  <xdr:twoCellAnchor>
    <xdr:from>
      <xdr:col>26</xdr:col>
      <xdr:colOff>166926</xdr:colOff>
      <xdr:row>0</xdr:row>
      <xdr:rowOff>637372</xdr:rowOff>
    </xdr:from>
    <xdr:to>
      <xdr:col>26</xdr:col>
      <xdr:colOff>287091</xdr:colOff>
      <xdr:row>53</xdr:row>
      <xdr:rowOff>98673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18669239" y="637372"/>
          <a:ext cx="120165" cy="10748426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rgbClr val="0F0D24"/>
            </a:solidFill>
          </a:endParaRPr>
        </a:p>
      </xdr:txBody>
    </xdr:sp>
    <xdr:clientData/>
  </xdr:twoCellAnchor>
  <xdr:twoCellAnchor>
    <xdr:from>
      <xdr:col>0</xdr:col>
      <xdr:colOff>16118</xdr:colOff>
      <xdr:row>0</xdr:row>
      <xdr:rowOff>3718</xdr:rowOff>
    </xdr:from>
    <xdr:to>
      <xdr:col>1</xdr:col>
      <xdr:colOff>2388577</xdr:colOff>
      <xdr:row>0</xdr:row>
      <xdr:rowOff>1108917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/>
      </xdr:nvSpPr>
      <xdr:spPr>
        <a:xfrm>
          <a:off x="16118" y="3718"/>
          <a:ext cx="2982059" cy="1105199"/>
        </a:xfrm>
        <a:prstGeom prst="rect">
          <a:avLst/>
        </a:prstGeom>
        <a:gradFill flip="none" rotWithShape="1">
          <a:gsLst>
            <a:gs pos="83000">
              <a:schemeClr val="tx2">
                <a:lumMod val="75000"/>
              </a:schemeClr>
            </a:gs>
            <a:gs pos="37000">
              <a:srgbClr val="0F0D24">
                <a:lumMod val="90000"/>
              </a:srgbClr>
            </a:gs>
          </a:gsLst>
          <a:path path="circle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155502</xdr:colOff>
      <xdr:row>0</xdr:row>
      <xdr:rowOff>260850</xdr:rowOff>
    </xdr:from>
    <xdr:to>
      <xdr:col>1</xdr:col>
      <xdr:colOff>2176543</xdr:colOff>
      <xdr:row>0</xdr:row>
      <xdr:rowOff>855342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grayscl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5971" b="71845" l="2865" r="99727"/>
                  </a14:imgEffect>
                  <a14:imgEffect>
                    <a14:brightnessContrast contrast="40000"/>
                  </a14:imgEffect>
                </a14:imgLayer>
              </a14:imgProps>
            </a:ext>
          </a:extLst>
        </a:blip>
        <a:srcRect l="2604" t="25135" r="1215" b="36293"/>
        <a:stretch/>
      </xdr:blipFill>
      <xdr:spPr bwMode="auto">
        <a:xfrm>
          <a:off x="155502" y="260850"/>
          <a:ext cx="2630641" cy="59449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0</xdr:col>
      <xdr:colOff>232233</xdr:colOff>
      <xdr:row>6</xdr:row>
      <xdr:rowOff>130734</xdr:rowOff>
    </xdr:from>
    <xdr:to>
      <xdr:col>2</xdr:col>
      <xdr:colOff>112056</xdr:colOff>
      <xdr:row>10</xdr:row>
      <xdr:rowOff>143936</xdr:rowOff>
    </xdr:to>
    <xdr:grpSp>
      <xdr:nvGrpSpPr>
        <xdr:cNvPr id="9" name="Grup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200-000009000000}"/>
            </a:ext>
          </a:extLst>
        </xdr:cNvPr>
        <xdr:cNvGrpSpPr>
          <a:grpSpLocks noChangeAspect="1"/>
        </xdr:cNvGrpSpPr>
      </xdr:nvGrpSpPr>
      <xdr:grpSpPr>
        <a:xfrm>
          <a:off x="232233" y="2473884"/>
          <a:ext cx="2908773" cy="775202"/>
          <a:chOff x="198049" y="2463157"/>
          <a:chExt cx="2987590" cy="777688"/>
        </a:xfrm>
      </xdr:grpSpPr>
      <xdr:pic>
        <xdr:nvPicPr>
          <xdr:cNvPr id="10" name="Imagem 9">
            <a:extLst>
              <a:ext uri="{FF2B5EF4-FFF2-40B4-BE49-F238E27FC236}">
                <a16:creationId xmlns:a16="http://schemas.microsoft.com/office/drawing/2014/main" xmlns="" id="{00000000-0008-0000-02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3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8049" y="2540688"/>
            <a:ext cx="607471" cy="596348"/>
          </a:xfrm>
          <a:prstGeom prst="rect">
            <a:avLst/>
          </a:prstGeom>
        </xdr:spPr>
      </xdr:pic>
      <xdr:sp macro="" textlink="">
        <xdr:nvSpPr>
          <xdr:cNvPr id="11" name="CaixaDeTexto 10">
            <a:extLst>
              <a:ext uri="{FF2B5EF4-FFF2-40B4-BE49-F238E27FC236}">
                <a16:creationId xmlns:a16="http://schemas.microsoft.com/office/drawing/2014/main" xmlns="" id="{00000000-0008-0000-0200-00000B000000}"/>
              </a:ext>
            </a:extLst>
          </xdr:cNvPr>
          <xdr:cNvSpPr txBox="1"/>
        </xdr:nvSpPr>
        <xdr:spPr>
          <a:xfrm>
            <a:off x="715513" y="2463157"/>
            <a:ext cx="2470126" cy="77768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chemeClr val="bg1">
                    <a:lumMod val="85000"/>
                  </a:schemeClr>
                </a:solidFill>
                <a:effectLst/>
                <a:latin typeface="Century Gothic" pitchFamily="34" charset="0"/>
                <a:ea typeface="+mn-ea"/>
                <a:cs typeface="+mn-cs"/>
              </a:rPr>
              <a:t>Acompanhamento</a:t>
            </a:r>
            <a:r>
              <a:rPr lang="pt-BR" sz="1800" b="1" baseline="0">
                <a:solidFill>
                  <a:schemeClr val="bg1">
                    <a:lumMod val="85000"/>
                  </a:schemeClr>
                </a:solidFill>
                <a:effectLst/>
                <a:latin typeface="Century Gothic" pitchFamily="34" charset="0"/>
                <a:ea typeface="+mn-ea"/>
                <a:cs typeface="+mn-cs"/>
              </a:rPr>
              <a:t> </a:t>
            </a:r>
            <a:r>
              <a:rPr lang="pt-BR" sz="1800" b="1">
                <a:solidFill>
                  <a:schemeClr val="bg1">
                    <a:lumMod val="85000"/>
                  </a:schemeClr>
                </a:solidFill>
                <a:effectLst/>
                <a:latin typeface="Century Gothic" pitchFamily="34" charset="0"/>
                <a:ea typeface="+mn-ea"/>
                <a:cs typeface="+mn-cs"/>
              </a:rPr>
              <a:t>de Inspeção</a:t>
            </a:r>
          </a:p>
        </xdr:txBody>
      </xdr:sp>
    </xdr:grpSp>
    <xdr:clientData/>
  </xdr:twoCellAnchor>
  <xdr:twoCellAnchor editAs="absolute">
    <xdr:from>
      <xdr:col>0</xdr:col>
      <xdr:colOff>253590</xdr:colOff>
      <xdr:row>12</xdr:row>
      <xdr:rowOff>14029</xdr:rowOff>
    </xdr:from>
    <xdr:to>
      <xdr:col>2</xdr:col>
      <xdr:colOff>4906</xdr:colOff>
      <xdr:row>15</xdr:row>
      <xdr:rowOff>133703</xdr:rowOff>
    </xdr:to>
    <xdr:grpSp>
      <xdr:nvGrpSpPr>
        <xdr:cNvPr id="12" name="Grup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00000000-0008-0000-0200-00000C000000}"/>
            </a:ext>
          </a:extLst>
        </xdr:cNvPr>
        <xdr:cNvGrpSpPr>
          <a:grpSpLocks noChangeAspect="1"/>
        </xdr:cNvGrpSpPr>
      </xdr:nvGrpSpPr>
      <xdr:grpSpPr>
        <a:xfrm>
          <a:off x="253590" y="3500179"/>
          <a:ext cx="2780266" cy="691174"/>
          <a:chOff x="197619" y="3602710"/>
          <a:chExt cx="2779667" cy="694910"/>
        </a:xfrm>
      </xdr:grpSpPr>
      <xdr:pic>
        <xdr:nvPicPr>
          <xdr:cNvPr id="13" name="Imagem 12">
            <a:extLst>
              <a:ext uri="{FF2B5EF4-FFF2-40B4-BE49-F238E27FC236}">
                <a16:creationId xmlns:a16="http://schemas.microsoft.com/office/drawing/2014/main" xmlns="" id="{00000000-0008-0000-02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lum bright="70000" contrast="-70000"/>
            <a:extLst>
              <a:ext uri="{BEBA8EAE-BF5A-486C-A8C5-ECC9F3942E4B}">
                <a14:imgProps xmlns:a14="http://schemas.microsoft.com/office/drawing/2010/main">
                  <a14:imgLayer r:embed="rId8">
                    <a14:imgEffect>
                      <a14:brightnessContrast bright="40000" contrast="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7619" y="3658842"/>
            <a:ext cx="605318" cy="580628"/>
          </a:xfrm>
          <a:prstGeom prst="rect">
            <a:avLst/>
          </a:prstGeom>
        </xdr:spPr>
      </xdr:pic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xmlns="" id="{00000000-0008-0000-0200-00000E000000}"/>
              </a:ext>
            </a:extLst>
          </xdr:cNvPr>
          <xdr:cNvSpPr txBox="1"/>
        </xdr:nvSpPr>
        <xdr:spPr>
          <a:xfrm>
            <a:off x="724462" y="3602710"/>
            <a:ext cx="2252824" cy="6949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chemeClr val="bg1">
                    <a:lumMod val="85000"/>
                  </a:schemeClr>
                </a:solidFill>
                <a:latin typeface="Century Gothic" pitchFamily="34" charset="0"/>
              </a:rPr>
              <a:t>Check-list</a:t>
            </a:r>
          </a:p>
          <a:p>
            <a:pPr algn="ctr"/>
            <a:r>
              <a:rPr lang="pt-BR" sz="1800" b="1">
                <a:solidFill>
                  <a:schemeClr val="bg1">
                    <a:lumMod val="85000"/>
                  </a:schemeClr>
                </a:solidFill>
                <a:latin typeface="Century Gothic" pitchFamily="34" charset="0"/>
              </a:rPr>
              <a:t>Entrada de Molde</a:t>
            </a:r>
          </a:p>
        </xdr:txBody>
      </xdr:sp>
    </xdr:grpSp>
    <xdr:clientData/>
  </xdr:twoCellAnchor>
  <xdr:twoCellAnchor editAs="absolute">
    <xdr:from>
      <xdr:col>0</xdr:col>
      <xdr:colOff>256770</xdr:colOff>
      <xdr:row>17</xdr:row>
      <xdr:rowOff>73275</xdr:rowOff>
    </xdr:from>
    <xdr:to>
      <xdr:col>1</xdr:col>
      <xdr:colOff>2259996</xdr:colOff>
      <xdr:row>21</xdr:row>
      <xdr:rowOff>51295</xdr:rowOff>
    </xdr:to>
    <xdr:grpSp>
      <xdr:nvGrpSpPr>
        <xdr:cNvPr id="15" name="Grupo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xmlns="" id="{00000000-0008-0000-0200-00000F000000}"/>
            </a:ext>
          </a:extLst>
        </xdr:cNvPr>
        <xdr:cNvGrpSpPr>
          <a:grpSpLocks noChangeAspect="1"/>
        </xdr:cNvGrpSpPr>
      </xdr:nvGrpSpPr>
      <xdr:grpSpPr>
        <a:xfrm>
          <a:off x="256770" y="4511925"/>
          <a:ext cx="2612826" cy="740020"/>
          <a:chOff x="200818" y="4692895"/>
          <a:chExt cx="2622199" cy="740020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xmlns="" id="{00000000-0008-0000-02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lum bright="70000" contrast="-7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0818" y="4801754"/>
            <a:ext cx="540924" cy="550563"/>
          </a:xfrm>
          <a:prstGeom prst="rect">
            <a:avLst/>
          </a:prstGeom>
        </xdr:spPr>
      </xdr:pic>
      <xdr:sp macro="" textlink="">
        <xdr:nvSpPr>
          <xdr:cNvPr id="17" name="CaixaDeTexto 16">
            <a:extLst>
              <a:ext uri="{FF2B5EF4-FFF2-40B4-BE49-F238E27FC236}">
                <a16:creationId xmlns:a16="http://schemas.microsoft.com/office/drawing/2014/main" xmlns="" id="{00000000-0008-0000-0200-000011000000}"/>
              </a:ext>
            </a:extLst>
          </xdr:cNvPr>
          <xdr:cNvSpPr txBox="1"/>
        </xdr:nvSpPr>
        <xdr:spPr>
          <a:xfrm>
            <a:off x="748470" y="4692895"/>
            <a:ext cx="2074547" cy="7400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800" b="1">
                <a:solidFill>
                  <a:schemeClr val="bg1">
                    <a:lumMod val="85000"/>
                  </a:schemeClr>
                </a:solidFill>
                <a:effectLst/>
                <a:latin typeface="Century Gothic" pitchFamily="34" charset="0"/>
                <a:ea typeface="+mn-ea"/>
                <a:cs typeface="+mn-cs"/>
              </a:rPr>
              <a:t>Medidas Funcionais</a:t>
            </a:r>
            <a:endParaRPr lang="pt-BR" sz="1800" b="1">
              <a:solidFill>
                <a:schemeClr val="bg1">
                  <a:lumMod val="85000"/>
                </a:schemeClr>
              </a:solidFill>
              <a:effectLst/>
              <a:latin typeface="Century Gothic" pitchFamily="34" charset="0"/>
            </a:endParaRPr>
          </a:p>
        </xdr:txBody>
      </xdr:sp>
    </xdr:grpSp>
    <xdr:clientData/>
  </xdr:twoCellAnchor>
  <xdr:twoCellAnchor editAs="absolute">
    <xdr:from>
      <xdr:col>0</xdr:col>
      <xdr:colOff>242571</xdr:colOff>
      <xdr:row>22</xdr:row>
      <xdr:rowOff>124749</xdr:rowOff>
    </xdr:from>
    <xdr:to>
      <xdr:col>1</xdr:col>
      <xdr:colOff>2154117</xdr:colOff>
      <xdr:row>26</xdr:row>
      <xdr:rowOff>115371</xdr:rowOff>
    </xdr:to>
    <xdr:grpSp>
      <xdr:nvGrpSpPr>
        <xdr:cNvPr id="194" name="Grupo 19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xmlns="" id="{00000000-0008-0000-0200-0000C2000000}"/>
            </a:ext>
          </a:extLst>
        </xdr:cNvPr>
        <xdr:cNvGrpSpPr>
          <a:grpSpLocks noChangeAspect="1"/>
        </xdr:cNvGrpSpPr>
      </xdr:nvGrpSpPr>
      <xdr:grpSpPr>
        <a:xfrm>
          <a:off x="242571" y="5515899"/>
          <a:ext cx="2521146" cy="752622"/>
          <a:chOff x="242571" y="5515899"/>
          <a:chExt cx="2521146" cy="752622"/>
        </a:xfrm>
      </xdr:grpSpPr>
      <xdr:pic>
        <xdr:nvPicPr>
          <xdr:cNvPr id="19" name="Imagem 18">
            <a:extLst>
              <a:ext uri="{FF2B5EF4-FFF2-40B4-BE49-F238E27FC236}">
                <a16:creationId xmlns:a16="http://schemas.microsoft.com/office/drawing/2014/main" xmlns="" id="{00000000-0008-0000-02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lum bright="70000" contrast="-70000"/>
            <a:extLst>
              <a:ext uri="{BEBA8EAE-BF5A-486C-A8C5-ECC9F3942E4B}">
                <a14:imgProps xmlns:a14="http://schemas.microsoft.com/office/drawing/2010/main">
                  <a14:imgLayer r:embed="rId13">
                    <a14:imgEffect>
                      <a14:sharpenSoften amount="100000"/>
                    </a14:imgEffect>
                    <a14:imgEffect>
                      <a14:colorTemperature colorTemp="11500"/>
                    </a14:imgEffect>
                    <a14:imgEffect>
                      <a14:brightnessContrast bright="-40000" contras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2571" y="5647182"/>
            <a:ext cx="599576" cy="569930"/>
          </a:xfrm>
          <a:prstGeom prst="rect">
            <a:avLst/>
          </a:prstGeom>
          <a:scene3d>
            <a:camera prst="orthographicFront"/>
            <a:lightRig rig="threePt" dir="t"/>
          </a:scene3d>
          <a:sp3d prstMaterial="matte"/>
        </xdr:spPr>
      </xdr:pic>
      <xdr:sp macro="" textlink="">
        <xdr:nvSpPr>
          <xdr:cNvPr id="20" name="CaixaDeTexto 19">
            <a:extLst>
              <a:ext uri="{FF2B5EF4-FFF2-40B4-BE49-F238E27FC236}">
                <a16:creationId xmlns:a16="http://schemas.microsoft.com/office/drawing/2014/main" xmlns="" id="{00000000-0008-0000-0200-000014000000}"/>
              </a:ext>
            </a:extLst>
          </xdr:cNvPr>
          <xdr:cNvSpPr txBox="1"/>
        </xdr:nvSpPr>
        <xdr:spPr>
          <a:xfrm>
            <a:off x="812882" y="5515899"/>
            <a:ext cx="1950835" cy="7526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chemeClr val="bg1"/>
                </a:solidFill>
                <a:latin typeface="Century Gothic" pitchFamily="34" charset="0"/>
              </a:rPr>
              <a:t>Desenhos Técnicos</a:t>
            </a:r>
          </a:p>
        </xdr:txBody>
      </xdr:sp>
    </xdr:grpSp>
    <xdr:clientData/>
  </xdr:twoCellAnchor>
  <xdr:twoCellAnchor editAs="absolute">
    <xdr:from>
      <xdr:col>0</xdr:col>
      <xdr:colOff>274608</xdr:colOff>
      <xdr:row>33</xdr:row>
      <xdr:rowOff>143011</xdr:rowOff>
    </xdr:from>
    <xdr:to>
      <xdr:col>1</xdr:col>
      <xdr:colOff>2220314</xdr:colOff>
      <xdr:row>36</xdr:row>
      <xdr:rowOff>139924</xdr:rowOff>
    </xdr:to>
    <xdr:grpSp>
      <xdr:nvGrpSpPr>
        <xdr:cNvPr id="21" name="Grupo 2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xmlns="" id="{00000000-0008-0000-0200-000015000000}"/>
            </a:ext>
          </a:extLst>
        </xdr:cNvPr>
        <xdr:cNvGrpSpPr>
          <a:grpSpLocks noChangeAspect="1"/>
        </xdr:cNvGrpSpPr>
      </xdr:nvGrpSpPr>
      <xdr:grpSpPr>
        <a:xfrm>
          <a:off x="274608" y="7629661"/>
          <a:ext cx="2555306" cy="568413"/>
          <a:chOff x="256163" y="7145765"/>
          <a:chExt cx="2566606" cy="568414"/>
        </a:xfrm>
      </xdr:grpSpPr>
      <xdr:pic>
        <xdr:nvPicPr>
          <xdr:cNvPr id="22" name="Imagem 21">
            <a:extLst>
              <a:ext uri="{FF2B5EF4-FFF2-40B4-BE49-F238E27FC236}">
                <a16:creationId xmlns:a16="http://schemas.microsoft.com/office/drawing/2014/main" xmlns="" id="{00000000-0008-0000-02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lum bright="70000" contrast="-70000"/>
            <a:extLst>
              <a:ext uri="{BEBA8EAE-BF5A-486C-A8C5-ECC9F3942E4B}">
                <a14:imgProps xmlns:a14="http://schemas.microsoft.com/office/drawing/2010/main">
                  <a14:imgLayer r:embed="rId16">
                    <a14:imgEffect>
                      <a14:brightnessContrast bright="40000" contrast="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6163" y="7145765"/>
            <a:ext cx="576752" cy="568414"/>
          </a:xfrm>
          <a:prstGeom prst="rect">
            <a:avLst/>
          </a:prstGeom>
        </xdr:spPr>
      </xdr:pic>
      <xdr:sp macro="" textlink="">
        <xdr:nvSpPr>
          <xdr:cNvPr id="23" name="CaixaDeTexto 22">
            <a:extLst>
              <a:ext uri="{FF2B5EF4-FFF2-40B4-BE49-F238E27FC236}">
                <a16:creationId xmlns:a16="http://schemas.microsoft.com/office/drawing/2014/main" xmlns="" id="{00000000-0008-0000-0200-000017000000}"/>
              </a:ext>
            </a:extLst>
          </xdr:cNvPr>
          <xdr:cNvSpPr txBox="1"/>
        </xdr:nvSpPr>
        <xdr:spPr>
          <a:xfrm>
            <a:off x="698236" y="7290687"/>
            <a:ext cx="2124533" cy="23526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chemeClr val="bg1">
                    <a:lumMod val="85000"/>
                  </a:schemeClr>
                </a:solidFill>
                <a:latin typeface="Century Gothic" pitchFamily="34" charset="0"/>
              </a:rPr>
              <a:t>Estudos</a:t>
            </a:r>
          </a:p>
        </xdr:txBody>
      </xdr:sp>
    </xdr:grpSp>
    <xdr:clientData/>
  </xdr:twoCellAnchor>
  <xdr:twoCellAnchor editAs="absolute">
    <xdr:from>
      <xdr:col>0</xdr:col>
      <xdr:colOff>246903</xdr:colOff>
      <xdr:row>2</xdr:row>
      <xdr:rowOff>88010</xdr:rowOff>
    </xdr:from>
    <xdr:to>
      <xdr:col>1</xdr:col>
      <xdr:colOff>2262090</xdr:colOff>
      <xdr:row>4</xdr:row>
      <xdr:rowOff>140968</xdr:rowOff>
    </xdr:to>
    <xdr:grpSp>
      <xdr:nvGrpSpPr>
        <xdr:cNvPr id="24" name="Grupo 2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xmlns="" id="{00000000-0008-0000-0200-000018000000}"/>
            </a:ext>
          </a:extLst>
        </xdr:cNvPr>
        <xdr:cNvGrpSpPr>
          <a:grpSpLocks noChangeAspect="1"/>
        </xdr:cNvGrpSpPr>
      </xdr:nvGrpSpPr>
      <xdr:grpSpPr>
        <a:xfrm>
          <a:off x="246903" y="1402460"/>
          <a:ext cx="2624787" cy="700658"/>
          <a:chOff x="246903" y="1397698"/>
          <a:chExt cx="2634312" cy="695895"/>
        </a:xfrm>
      </xdr:grpSpPr>
      <xdr:sp macro="" textlink="">
        <xdr:nvSpPr>
          <xdr:cNvPr id="25" name="CaixaDeTexto 24">
            <a:extLst>
              <a:ext uri="{FF2B5EF4-FFF2-40B4-BE49-F238E27FC236}">
                <a16:creationId xmlns:a16="http://schemas.microsoft.com/office/drawing/2014/main" xmlns="" id="{00000000-0008-0000-0200-000019000000}"/>
              </a:ext>
            </a:extLst>
          </xdr:cNvPr>
          <xdr:cNvSpPr txBox="1"/>
        </xdr:nvSpPr>
        <xdr:spPr>
          <a:xfrm>
            <a:off x="656798" y="1478117"/>
            <a:ext cx="2224417" cy="6154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chemeClr val="bg1">
                    <a:lumMod val="95000"/>
                  </a:schemeClr>
                </a:solidFill>
                <a:latin typeface="Century Gothic" pitchFamily="34" charset="0"/>
              </a:rPr>
              <a:t>HOME</a:t>
            </a:r>
          </a:p>
        </xdr:txBody>
      </xdr:sp>
      <xdr:pic>
        <xdr:nvPicPr>
          <xdr:cNvPr id="26" name="Imagem 25">
            <a:extLst>
              <a:ext uri="{FF2B5EF4-FFF2-40B4-BE49-F238E27FC236}">
                <a16:creationId xmlns:a16="http://schemas.microsoft.com/office/drawing/2014/main" xmlns="" id="{00000000-0008-0000-02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lum bright="70000" contrast="-7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6903" y="1397698"/>
            <a:ext cx="647360" cy="654059"/>
          </a:xfrm>
          <a:prstGeom prst="rect">
            <a:avLst/>
          </a:prstGeom>
          <a:noFill/>
        </xdr:spPr>
      </xdr:pic>
    </xdr:grpSp>
    <xdr:clientData/>
  </xdr:twoCellAnchor>
  <xdr:twoCellAnchor editAs="absolute">
    <xdr:from>
      <xdr:col>0</xdr:col>
      <xdr:colOff>289403</xdr:colOff>
      <xdr:row>50</xdr:row>
      <xdr:rowOff>74708</xdr:rowOff>
    </xdr:from>
    <xdr:to>
      <xdr:col>1</xdr:col>
      <xdr:colOff>2281877</xdr:colOff>
      <xdr:row>53</xdr:row>
      <xdr:rowOff>186773</xdr:rowOff>
    </xdr:to>
    <xdr:grpSp>
      <xdr:nvGrpSpPr>
        <xdr:cNvPr id="27" name="Grupo 26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xmlns="" id="{00000000-0008-0000-0200-00001B000000}"/>
            </a:ext>
          </a:extLst>
        </xdr:cNvPr>
        <xdr:cNvGrpSpPr>
          <a:grpSpLocks noChangeAspect="1"/>
        </xdr:cNvGrpSpPr>
      </xdr:nvGrpSpPr>
      <xdr:grpSpPr>
        <a:xfrm>
          <a:off x="289403" y="10799858"/>
          <a:ext cx="2602074" cy="683565"/>
          <a:chOff x="196023" y="10608237"/>
          <a:chExt cx="2608798" cy="672360"/>
        </a:xfrm>
      </xdr:grpSpPr>
      <xdr:pic>
        <xdr:nvPicPr>
          <xdr:cNvPr id="28" name="Imagem 27">
            <a:extLst>
              <a:ext uri="{FF2B5EF4-FFF2-40B4-BE49-F238E27FC236}">
                <a16:creationId xmlns:a16="http://schemas.microsoft.com/office/drawing/2014/main" xmlns="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BEBA8EAE-BF5A-486C-A8C5-ECC9F3942E4B}">
                <a14:imgProps xmlns:a14="http://schemas.microsoft.com/office/drawing/2010/main">
                  <a14:imgLayer r:embed="rId21">
                    <a14:imgEffect>
                      <a14:sharpenSoften amount="-30000"/>
                    </a14:imgEffect>
                    <a14:imgEffect>
                      <a14:colorTemperature colorTemp="4500"/>
                    </a14:imgEffect>
                    <a14:imgEffect>
                      <a14:saturation sat="60000"/>
                    </a14:imgEffect>
                    <a14:imgEffect>
                      <a14:brightnessContrast bright="100000" contrast="-7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023" y="10660860"/>
            <a:ext cx="557208" cy="557208"/>
          </a:xfrm>
          <a:prstGeom prst="rect">
            <a:avLst/>
          </a:prstGeom>
          <a:effectLst>
            <a:glow>
              <a:schemeClr val="accent1">
                <a:alpha val="40000"/>
              </a:schemeClr>
            </a:glow>
            <a:softEdge rad="0"/>
          </a:effectLst>
        </xdr:spPr>
      </xdr:pic>
      <xdr:sp macro="" textlink="">
        <xdr:nvSpPr>
          <xdr:cNvPr id="29" name="CaixaDeTexto 28">
            <a:extLst>
              <a:ext uri="{FF2B5EF4-FFF2-40B4-BE49-F238E27FC236}">
                <a16:creationId xmlns:a16="http://schemas.microsoft.com/office/drawing/2014/main" xmlns="" id="{00000000-0008-0000-0200-00001D000000}"/>
              </a:ext>
            </a:extLst>
          </xdr:cNvPr>
          <xdr:cNvSpPr txBox="1"/>
        </xdr:nvSpPr>
        <xdr:spPr>
          <a:xfrm>
            <a:off x="684074" y="10608237"/>
            <a:ext cx="2120747" cy="6723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chemeClr val="bg1">
                    <a:lumMod val="85000"/>
                  </a:schemeClr>
                </a:solidFill>
                <a:latin typeface="Century Gothic" pitchFamily="34" charset="0"/>
              </a:rPr>
              <a:t>CONSULTA</a:t>
            </a:r>
          </a:p>
          <a:p>
            <a:pPr algn="ctr"/>
            <a:r>
              <a:rPr lang="pt-BR" sz="1800" b="1">
                <a:solidFill>
                  <a:schemeClr val="bg1">
                    <a:lumMod val="85000"/>
                  </a:schemeClr>
                </a:solidFill>
                <a:latin typeface="Century Gothic" pitchFamily="34" charset="0"/>
              </a:rPr>
              <a:t>IT 7.5.1-17 </a:t>
            </a:r>
          </a:p>
        </xdr:txBody>
      </xdr:sp>
    </xdr:grpSp>
    <xdr:clientData/>
  </xdr:twoCellAnchor>
  <xdr:twoCellAnchor editAs="absolute">
    <xdr:from>
      <xdr:col>0</xdr:col>
      <xdr:colOff>0</xdr:colOff>
      <xdr:row>27</xdr:row>
      <xdr:rowOff>36072</xdr:rowOff>
    </xdr:from>
    <xdr:to>
      <xdr:col>2</xdr:col>
      <xdr:colOff>22412</xdr:colOff>
      <xdr:row>33</xdr:row>
      <xdr:rowOff>8903</xdr:rowOff>
    </xdr:to>
    <xdr:grpSp>
      <xdr:nvGrpSpPr>
        <xdr:cNvPr id="195" name="Grupo 194">
          <a:extLst>
            <a:ext uri="{FF2B5EF4-FFF2-40B4-BE49-F238E27FC236}">
              <a16:creationId xmlns:a16="http://schemas.microsoft.com/office/drawing/2014/main" xmlns="" id="{00000000-0008-0000-0200-0000C3000000}"/>
            </a:ext>
          </a:extLst>
        </xdr:cNvPr>
        <xdr:cNvGrpSpPr>
          <a:grpSpLocks noChangeAspect="1"/>
        </xdr:cNvGrpSpPr>
      </xdr:nvGrpSpPr>
      <xdr:grpSpPr>
        <a:xfrm>
          <a:off x="0" y="6379722"/>
          <a:ext cx="3051362" cy="1115831"/>
          <a:chOff x="0" y="6379722"/>
          <a:chExt cx="3051362" cy="1115831"/>
        </a:xfrm>
      </xdr:grpSpPr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xmlns="" id="{00000000-0008-0000-0200-000006000000}"/>
              </a:ext>
            </a:extLst>
          </xdr:cNvPr>
          <xdr:cNvSpPr/>
        </xdr:nvSpPr>
        <xdr:spPr>
          <a:xfrm>
            <a:off x="0" y="6379722"/>
            <a:ext cx="3051362" cy="1115831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31" name="Imagem 30">
            <a:extLst>
              <a:ext uri="{FF2B5EF4-FFF2-40B4-BE49-F238E27FC236}">
                <a16:creationId xmlns:a16="http://schemas.microsoft.com/office/drawing/2014/main" xmlns="" id="{00000000-0008-0000-0200-00001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8182" y="6623006"/>
            <a:ext cx="555751" cy="570475"/>
          </a:xfrm>
          <a:prstGeom prst="rect">
            <a:avLst/>
          </a:prstGeom>
        </xdr:spPr>
      </xdr:pic>
      <xdr:sp macro="" textlink="">
        <xdr:nvSpPr>
          <xdr:cNvPr id="32" name="CaixaDeTexto 31">
            <a:extLst>
              <a:ext uri="{FF2B5EF4-FFF2-40B4-BE49-F238E27FC236}">
                <a16:creationId xmlns:a16="http://schemas.microsoft.com/office/drawing/2014/main" xmlns="" id="{00000000-0008-0000-0200-000020000000}"/>
              </a:ext>
            </a:extLst>
          </xdr:cNvPr>
          <xdr:cNvSpPr txBox="1"/>
        </xdr:nvSpPr>
        <xdr:spPr>
          <a:xfrm>
            <a:off x="717704" y="6511775"/>
            <a:ext cx="2115200" cy="803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 baseline="0">
                <a:solidFill>
                  <a:srgbClr val="0F0D24"/>
                </a:solidFill>
                <a:latin typeface="Century Gothic" pitchFamily="34" charset="0"/>
              </a:rPr>
              <a:t>Ficha Técnica</a:t>
            </a:r>
            <a:br>
              <a:rPr lang="pt-BR" sz="1800" b="1" baseline="0">
                <a:solidFill>
                  <a:srgbClr val="0F0D24"/>
                </a:solidFill>
                <a:latin typeface="Century Gothic" pitchFamily="34" charset="0"/>
              </a:rPr>
            </a:br>
            <a:r>
              <a:rPr lang="pt-BR" sz="1800" b="1" baseline="0">
                <a:solidFill>
                  <a:srgbClr val="0F0D24"/>
                </a:solidFill>
                <a:latin typeface="Century Gothic" pitchFamily="34" charset="0"/>
              </a:rPr>
              <a:t>Polimeros</a:t>
            </a:r>
            <a:endParaRPr lang="pt-BR" sz="1800" b="1">
              <a:solidFill>
                <a:srgbClr val="0F0D24"/>
              </a:solidFill>
              <a:latin typeface="Century Gothic" pitchFamily="34" charset="0"/>
            </a:endParaRPr>
          </a:p>
        </xdr:txBody>
      </xdr:sp>
    </xdr:grpSp>
    <xdr:clientData/>
  </xdr:twoCellAnchor>
  <xdr:twoCellAnchor editAs="absolute">
    <xdr:from>
      <xdr:col>0</xdr:col>
      <xdr:colOff>280319</xdr:colOff>
      <xdr:row>38</xdr:row>
      <xdr:rowOff>131059</xdr:rowOff>
    </xdr:from>
    <xdr:to>
      <xdr:col>1</xdr:col>
      <xdr:colOff>2223629</xdr:colOff>
      <xdr:row>41</xdr:row>
      <xdr:rowOff>127973</xdr:rowOff>
    </xdr:to>
    <xdr:grpSp>
      <xdr:nvGrpSpPr>
        <xdr:cNvPr id="33" name="Grupo 32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00000000-0008-0000-0200-000021000000}"/>
            </a:ext>
          </a:extLst>
        </xdr:cNvPr>
        <xdr:cNvGrpSpPr>
          <a:grpSpLocks noChangeAspect="1"/>
        </xdr:cNvGrpSpPr>
      </xdr:nvGrpSpPr>
      <xdr:grpSpPr>
        <a:xfrm>
          <a:off x="280319" y="8570209"/>
          <a:ext cx="2552910" cy="568414"/>
          <a:chOff x="258574" y="7168177"/>
          <a:chExt cx="2564195" cy="568414"/>
        </a:xfrm>
      </xdr:grpSpPr>
      <xdr:pic>
        <xdr:nvPicPr>
          <xdr:cNvPr id="34" name="Imagem 33">
            <a:extLst>
              <a:ext uri="{FF2B5EF4-FFF2-40B4-BE49-F238E27FC236}">
                <a16:creationId xmlns:a16="http://schemas.microsoft.com/office/drawing/2014/main" xmlns="" id="{00000000-0008-0000-0200-00002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lum bright="70000" contrast="-7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8574" y="7168177"/>
            <a:ext cx="571931" cy="568414"/>
          </a:xfrm>
          <a:prstGeom prst="rect">
            <a:avLst/>
          </a:prstGeom>
        </xdr:spPr>
      </xdr:pic>
      <xdr:sp macro="" textlink="">
        <xdr:nvSpPr>
          <xdr:cNvPr id="35" name="CaixaDeTexto 34">
            <a:extLst>
              <a:ext uri="{FF2B5EF4-FFF2-40B4-BE49-F238E27FC236}">
                <a16:creationId xmlns:a16="http://schemas.microsoft.com/office/drawing/2014/main" xmlns="" id="{00000000-0008-0000-0200-000023000000}"/>
              </a:ext>
            </a:extLst>
          </xdr:cNvPr>
          <xdr:cNvSpPr txBox="1"/>
        </xdr:nvSpPr>
        <xdr:spPr>
          <a:xfrm>
            <a:off x="698236" y="7357362"/>
            <a:ext cx="2124533" cy="23526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chemeClr val="bg1">
                    <a:lumMod val="95000"/>
                  </a:schemeClr>
                </a:solidFill>
                <a:latin typeface="Century Gothic" pitchFamily="34" charset="0"/>
              </a:rPr>
              <a:t>Kanban</a:t>
            </a:r>
          </a:p>
        </xdr:txBody>
      </xdr:sp>
    </xdr:grpSp>
    <xdr:clientData/>
  </xdr:twoCellAnchor>
  <xdr:twoCellAnchor>
    <xdr:from>
      <xdr:col>18</xdr:col>
      <xdr:colOff>133313</xdr:colOff>
      <xdr:row>0</xdr:row>
      <xdr:rowOff>673343</xdr:rowOff>
    </xdr:from>
    <xdr:to>
      <xdr:col>18</xdr:col>
      <xdr:colOff>253478</xdr:colOff>
      <xdr:row>53</xdr:row>
      <xdr:rowOff>277605</xdr:rowOff>
    </xdr:to>
    <xdr:sp macro="" textlink="">
      <xdr:nvSpPr>
        <xdr:cNvPr id="188" name="Retângulo 187">
          <a:extLst>
            <a:ext uri="{FF2B5EF4-FFF2-40B4-BE49-F238E27FC236}">
              <a16:creationId xmlns:a16="http://schemas.microsoft.com/office/drawing/2014/main" xmlns="" id="{00000000-0008-0000-0200-0000BC000000}"/>
            </a:ext>
          </a:extLst>
        </xdr:cNvPr>
        <xdr:cNvSpPr/>
      </xdr:nvSpPr>
      <xdr:spPr>
        <a:xfrm>
          <a:off x="13349251" y="673343"/>
          <a:ext cx="120165" cy="10891387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</xdr:col>
      <xdr:colOff>554186</xdr:colOff>
      <xdr:row>0</xdr:row>
      <xdr:rowOff>391906</xdr:rowOff>
    </xdr:from>
    <xdr:to>
      <xdr:col>9</xdr:col>
      <xdr:colOff>254561</xdr:colOff>
      <xdr:row>2</xdr:row>
      <xdr:rowOff>162218</xdr:rowOff>
    </xdr:to>
    <xdr:sp macro="" textlink="">
      <xdr:nvSpPr>
        <xdr:cNvPr id="3" name="Bisel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3578374" y="391906"/>
          <a:ext cx="4320000" cy="1080000"/>
        </a:xfrm>
        <a:prstGeom prst="bevel">
          <a:avLst/>
        </a:prstGeom>
        <a:gradFill flip="none" rotWithShape="1">
          <a:gsLst>
            <a:gs pos="58000">
              <a:schemeClr val="accent1">
                <a:lumMod val="48000"/>
              </a:schemeClr>
            </a:gs>
            <a:gs pos="77000">
              <a:schemeClr val="accent1">
                <a:lumMod val="84000"/>
                <a:alpha val="92000"/>
              </a:schemeClr>
            </a:gs>
            <a:gs pos="95000">
              <a:schemeClr val="accent1">
                <a:lumMod val="90000"/>
                <a:alpha val="79000"/>
              </a:schemeClr>
            </a:gs>
          </a:gsLst>
          <a:lin ang="16200000" scaled="1"/>
          <a:tileRect/>
        </a:gradFill>
        <a:ln>
          <a:gradFill>
            <a:gsLst>
              <a:gs pos="20000">
                <a:schemeClr val="tx2">
                  <a:lumMod val="40000"/>
                  <a:lumOff val="60000"/>
                </a:schemeClr>
              </a:gs>
              <a:gs pos="50000">
                <a:schemeClr val="tx2">
                  <a:lumMod val="75000"/>
                </a:schemeClr>
              </a:gs>
              <a:gs pos="90000">
                <a:schemeClr val="tx2">
                  <a:lumMod val="50000"/>
                </a:schemeClr>
              </a:gs>
            </a:gsLst>
            <a:lin ang="5400000" scaled="0"/>
          </a:gradFill>
        </a:ln>
        <a:effectLst>
          <a:reflection blurRad="6350" stA="52000" endA="300" endPos="35000" dir="5400000" sy="-100000" algn="bl" rotWithShape="0"/>
        </a:effectLst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 i="0"/>
            <a:t>POLIESTIRENO</a:t>
          </a:r>
          <a:r>
            <a:rPr lang="pt-BR" sz="2800" b="1" i="0" baseline="0"/>
            <a:t> PS</a:t>
          </a:r>
          <a:endParaRPr lang="pt-BR" sz="1100" b="1" i="0"/>
        </a:p>
      </xdr:txBody>
    </xdr:sp>
    <xdr:clientData/>
  </xdr:twoCellAnchor>
  <xdr:twoCellAnchor editAs="absolute">
    <xdr:from>
      <xdr:col>10</xdr:col>
      <xdr:colOff>314752</xdr:colOff>
      <xdr:row>0</xdr:row>
      <xdr:rowOff>388443</xdr:rowOff>
    </xdr:from>
    <xdr:to>
      <xdr:col>17</xdr:col>
      <xdr:colOff>300877</xdr:colOff>
      <xdr:row>2</xdr:row>
      <xdr:rowOff>158755</xdr:rowOff>
    </xdr:to>
    <xdr:sp macro="" textlink="">
      <xdr:nvSpPr>
        <xdr:cNvPr id="63" name="Bisel 62">
          <a:extLst>
            <a:ext uri="{FF2B5EF4-FFF2-40B4-BE49-F238E27FC236}">
              <a16:creationId xmlns:a16="http://schemas.microsoft.com/office/drawing/2014/main" xmlns="" id="{00000000-0008-0000-0200-00003F000000}"/>
            </a:ext>
          </a:extLst>
        </xdr:cNvPr>
        <xdr:cNvSpPr/>
      </xdr:nvSpPr>
      <xdr:spPr>
        <a:xfrm>
          <a:off x="8577690" y="388443"/>
          <a:ext cx="4320000" cy="1080000"/>
        </a:xfrm>
        <a:prstGeom prst="bevel">
          <a:avLst/>
        </a:prstGeom>
        <a:gradFill flip="none" rotWithShape="1">
          <a:gsLst>
            <a:gs pos="58000">
              <a:schemeClr val="accent6">
                <a:lumMod val="50000"/>
              </a:schemeClr>
            </a:gs>
            <a:gs pos="77000">
              <a:schemeClr val="accent6">
                <a:lumMod val="75000"/>
              </a:schemeClr>
            </a:gs>
            <a:gs pos="95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gradFill>
            <a:gsLst>
              <a:gs pos="25000">
                <a:schemeClr val="accent6">
                  <a:lumMod val="40000"/>
                  <a:lumOff val="60000"/>
                </a:schemeClr>
              </a:gs>
              <a:gs pos="50000">
                <a:schemeClr val="accent6">
                  <a:lumMod val="75000"/>
                </a:schemeClr>
              </a:gs>
              <a:gs pos="90000">
                <a:schemeClr val="accent6">
                  <a:lumMod val="50000"/>
                </a:schemeClr>
              </a:gs>
            </a:gsLst>
            <a:lin ang="5400000" scaled="0"/>
          </a:gradFill>
        </a:ln>
        <a:effectLst>
          <a:reflection blurRad="6350" stA="52000" endA="300" endPos="35000" dir="5400000" sy="-100000" algn="bl" rotWithShape="0"/>
        </a:effectLst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 i="0"/>
            <a:t>POLIPROPILENO</a:t>
          </a:r>
          <a:r>
            <a:rPr lang="pt-BR" sz="2800" b="1" i="0" baseline="0"/>
            <a:t> PP</a:t>
          </a:r>
          <a:endParaRPr lang="pt-BR" sz="1100" b="1" i="0"/>
        </a:p>
      </xdr:txBody>
    </xdr:sp>
    <xdr:clientData/>
  </xdr:twoCellAnchor>
  <xdr:twoCellAnchor editAs="absolute">
    <xdr:from>
      <xdr:col>19</xdr:col>
      <xdr:colOff>48473</xdr:colOff>
      <xdr:row>0</xdr:row>
      <xdr:rowOff>392773</xdr:rowOff>
    </xdr:from>
    <xdr:to>
      <xdr:col>25</xdr:col>
      <xdr:colOff>320348</xdr:colOff>
      <xdr:row>2</xdr:row>
      <xdr:rowOff>163085</xdr:rowOff>
    </xdr:to>
    <xdr:sp macro="" textlink="">
      <xdr:nvSpPr>
        <xdr:cNvPr id="64" name="Bisel 63">
          <a:extLst>
            <a:ext uri="{FF2B5EF4-FFF2-40B4-BE49-F238E27FC236}">
              <a16:creationId xmlns:a16="http://schemas.microsoft.com/office/drawing/2014/main" xmlns="" id="{00000000-0008-0000-0200-000040000000}"/>
            </a:ext>
          </a:extLst>
        </xdr:cNvPr>
        <xdr:cNvSpPr/>
      </xdr:nvSpPr>
      <xdr:spPr>
        <a:xfrm>
          <a:off x="13883536" y="392773"/>
          <a:ext cx="4320000" cy="1080000"/>
        </a:xfrm>
        <a:prstGeom prst="bevel">
          <a:avLst/>
        </a:prstGeom>
        <a:gradFill flip="none" rotWithShape="1">
          <a:gsLst>
            <a:gs pos="58000">
              <a:schemeClr val="accent3">
                <a:lumMod val="50000"/>
              </a:schemeClr>
            </a:gs>
            <a:gs pos="77000">
              <a:schemeClr val="accent3">
                <a:lumMod val="75000"/>
              </a:schemeClr>
            </a:gs>
            <a:gs pos="95000">
              <a:schemeClr val="accent3">
                <a:lumMod val="60000"/>
                <a:lumOff val="40000"/>
              </a:schemeClr>
            </a:gs>
          </a:gsLst>
          <a:lin ang="16200000" scaled="1"/>
          <a:tileRect/>
        </a:gradFill>
        <a:ln>
          <a:gradFill>
            <a:gsLst>
              <a:gs pos="25000">
                <a:schemeClr val="accent3">
                  <a:lumMod val="40000"/>
                  <a:lumOff val="60000"/>
                </a:schemeClr>
              </a:gs>
              <a:gs pos="50000">
                <a:schemeClr val="accent3">
                  <a:lumMod val="75000"/>
                </a:schemeClr>
              </a:gs>
              <a:gs pos="90000">
                <a:schemeClr val="accent3">
                  <a:lumMod val="50000"/>
                </a:schemeClr>
              </a:gs>
            </a:gsLst>
            <a:lin ang="5400000" scaled="0"/>
          </a:gradFill>
        </a:ln>
        <a:effectLst>
          <a:reflection blurRad="6350" stA="52000" endA="300" endPos="35000" dir="5400000" sy="-100000" algn="bl" rotWithShape="0"/>
        </a:effectLst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 i="0"/>
            <a:t>POLIETILENO</a:t>
          </a:r>
          <a:r>
            <a:rPr lang="pt-BR" sz="2800" b="1" i="0" baseline="0"/>
            <a:t> PE</a:t>
          </a:r>
          <a:endParaRPr lang="pt-BR" sz="1100" b="1" i="0"/>
        </a:p>
      </xdr:txBody>
    </xdr:sp>
    <xdr:clientData/>
  </xdr:twoCellAnchor>
  <xdr:twoCellAnchor editAs="absolute">
    <xdr:from>
      <xdr:col>27</xdr:col>
      <xdr:colOff>510007</xdr:colOff>
      <xdr:row>0</xdr:row>
      <xdr:rowOff>396237</xdr:rowOff>
    </xdr:from>
    <xdr:to>
      <xdr:col>32</xdr:col>
      <xdr:colOff>1567695</xdr:colOff>
      <xdr:row>2</xdr:row>
      <xdr:rowOff>166549</xdr:rowOff>
    </xdr:to>
    <xdr:sp macro="" textlink="">
      <xdr:nvSpPr>
        <xdr:cNvPr id="65" name="Bisel 64">
          <a:extLst>
            <a:ext uri="{FF2B5EF4-FFF2-40B4-BE49-F238E27FC236}">
              <a16:creationId xmlns:a16="http://schemas.microsoft.com/office/drawing/2014/main" xmlns="" id="{00000000-0008-0000-0200-000041000000}"/>
            </a:ext>
          </a:extLst>
        </xdr:cNvPr>
        <xdr:cNvSpPr/>
      </xdr:nvSpPr>
      <xdr:spPr>
        <a:xfrm>
          <a:off x="19631445" y="396237"/>
          <a:ext cx="4320000" cy="1080000"/>
        </a:xfrm>
        <a:prstGeom prst="bevel">
          <a:avLst/>
        </a:prstGeom>
        <a:gradFill flip="none" rotWithShape="1">
          <a:gsLst>
            <a:gs pos="58000">
              <a:schemeClr val="accent2">
                <a:lumMod val="50000"/>
              </a:schemeClr>
            </a:gs>
            <a:gs pos="77000">
              <a:schemeClr val="accent2">
                <a:lumMod val="60000"/>
                <a:lumOff val="40000"/>
              </a:schemeClr>
            </a:gs>
            <a:gs pos="95000">
              <a:schemeClr val="accent2">
                <a:lumMod val="40000"/>
                <a:lumOff val="60000"/>
              </a:schemeClr>
            </a:gs>
          </a:gsLst>
          <a:lin ang="16200000" scaled="1"/>
          <a:tileRect/>
        </a:gradFill>
        <a:ln>
          <a:gradFill>
            <a:gsLst>
              <a:gs pos="25000">
                <a:schemeClr val="accent2">
                  <a:lumMod val="20000"/>
                  <a:lumOff val="80000"/>
                </a:schemeClr>
              </a:gs>
              <a:gs pos="50000">
                <a:schemeClr val="accent2">
                  <a:lumMod val="75000"/>
                </a:schemeClr>
              </a:gs>
              <a:gs pos="90000">
                <a:schemeClr val="accent2">
                  <a:lumMod val="50000"/>
                </a:schemeClr>
              </a:gs>
            </a:gsLst>
            <a:lin ang="5400000" scaled="0"/>
          </a:gradFill>
        </a:ln>
        <a:effectLst>
          <a:reflection blurRad="6350" stA="52000" endA="300" endPos="35000" dir="5400000" sy="-100000" algn="bl" rotWithShape="0"/>
        </a:effectLst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 i="0"/>
            <a:t>OUTROS POLIMEROS</a:t>
          </a:r>
          <a:endParaRPr lang="pt-BR" sz="1100" b="1" i="0"/>
        </a:p>
      </xdr:txBody>
    </xdr:sp>
    <xdr:clientData/>
  </xdr:twoCellAnchor>
  <xdr:twoCellAnchor editAs="absolute">
    <xdr:from>
      <xdr:col>3</xdr:col>
      <xdr:colOff>4</xdr:colOff>
      <xdr:row>4</xdr:row>
      <xdr:rowOff>34636</xdr:rowOff>
    </xdr:from>
    <xdr:to>
      <xdr:col>8</xdr:col>
      <xdr:colOff>469371</xdr:colOff>
      <xdr:row>8</xdr:row>
      <xdr:rowOff>172636</xdr:rowOff>
    </xdr:to>
    <xdr:sp macro="" textlink="">
      <xdr:nvSpPr>
        <xdr:cNvPr id="39" name="Bisel 38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xmlns="" id="{00000000-0008-0000-0200-000027000000}"/>
            </a:ext>
          </a:extLst>
        </xdr:cNvPr>
        <xdr:cNvSpPr>
          <a:spLocks noChangeAspect="1"/>
        </xdr:cNvSpPr>
      </xdr:nvSpPr>
      <xdr:spPr>
        <a:xfrm>
          <a:off x="3943354" y="1996786"/>
          <a:ext cx="3517367" cy="900000"/>
        </a:xfrm>
        <a:prstGeom prst="bevel">
          <a:avLst/>
        </a:prstGeom>
        <a:gradFill flip="none" rotWithShape="1">
          <a:gsLst>
            <a:gs pos="58000">
              <a:schemeClr val="accent1">
                <a:lumMod val="48000"/>
              </a:schemeClr>
            </a:gs>
            <a:gs pos="77000">
              <a:schemeClr val="accent1">
                <a:lumMod val="84000"/>
                <a:alpha val="92000"/>
              </a:schemeClr>
            </a:gs>
            <a:gs pos="95000">
              <a:schemeClr val="accent1">
                <a:lumMod val="90000"/>
                <a:alpha val="79000"/>
              </a:schemeClr>
            </a:gs>
          </a:gsLst>
          <a:lin ang="16200000" scaled="1"/>
          <a:tileRect/>
        </a:gradFill>
        <a:ln>
          <a:gradFill>
            <a:gsLst>
              <a:gs pos="20000">
                <a:schemeClr val="tx2">
                  <a:lumMod val="40000"/>
                  <a:lumOff val="60000"/>
                </a:schemeClr>
              </a:gs>
              <a:gs pos="90000">
                <a:schemeClr val="tx2">
                  <a:lumMod val="50000"/>
                </a:schemeClr>
              </a:gs>
              <a:gs pos="40000">
                <a:schemeClr val="tx2">
                  <a:lumMod val="75000"/>
                </a:schemeClr>
              </a:gs>
            </a:gsLst>
            <a:lin ang="5400000" scaled="0"/>
          </a:gradFill>
        </a:ln>
        <a:effectLst>
          <a:reflection blurRad="6350" stA="52000" endA="300" endPos="35000" dir="5400000" sy="-100000" algn="bl" rotWithShape="0"/>
        </a:effectLst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i="0" baseline="0"/>
            <a:t>PSAI RT441M</a:t>
          </a:r>
          <a:endParaRPr lang="pt-BR" sz="1050" b="1" i="0"/>
        </a:p>
      </xdr:txBody>
    </xdr:sp>
    <xdr:clientData/>
  </xdr:twoCellAnchor>
  <xdr:twoCellAnchor editAs="absolute">
    <xdr:from>
      <xdr:col>28</xdr:col>
      <xdr:colOff>342888</xdr:colOff>
      <xdr:row>30</xdr:row>
      <xdr:rowOff>142888</xdr:rowOff>
    </xdr:from>
    <xdr:to>
      <xdr:col>32</xdr:col>
      <xdr:colOff>1299701</xdr:colOff>
      <xdr:row>35</xdr:row>
      <xdr:rowOff>90388</xdr:rowOff>
    </xdr:to>
    <xdr:sp macro="" textlink="">
      <xdr:nvSpPr>
        <xdr:cNvPr id="40" name="Bisel 39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xmlns="" id="{00000000-0008-0000-0200-000028000000}"/>
            </a:ext>
          </a:extLst>
        </xdr:cNvPr>
        <xdr:cNvSpPr>
          <a:spLocks/>
        </xdr:cNvSpPr>
      </xdr:nvSpPr>
      <xdr:spPr>
        <a:xfrm>
          <a:off x="19869138" y="7058038"/>
          <a:ext cx="3566663" cy="900000"/>
        </a:xfrm>
        <a:prstGeom prst="bevel">
          <a:avLst/>
        </a:prstGeom>
        <a:gradFill flip="none" rotWithShape="1">
          <a:gsLst>
            <a:gs pos="58000">
              <a:schemeClr val="accent2">
                <a:lumMod val="50000"/>
              </a:schemeClr>
            </a:gs>
            <a:gs pos="77000">
              <a:schemeClr val="accent2">
                <a:lumMod val="60000"/>
                <a:lumOff val="40000"/>
              </a:schemeClr>
            </a:gs>
            <a:gs pos="95000">
              <a:schemeClr val="accent2">
                <a:lumMod val="40000"/>
                <a:lumOff val="60000"/>
              </a:schemeClr>
            </a:gs>
          </a:gsLst>
          <a:lin ang="16200000" scaled="0"/>
          <a:tileRect/>
        </a:gradFill>
        <a:ln>
          <a:gradFill>
            <a:gsLst>
              <a:gs pos="90000">
                <a:schemeClr val="accent2">
                  <a:lumMod val="50000"/>
                </a:schemeClr>
              </a:gs>
              <a:gs pos="40000">
                <a:schemeClr val="accent2">
                  <a:lumMod val="75000"/>
                </a:schemeClr>
              </a:gs>
              <a:gs pos="20000">
                <a:schemeClr val="accent2">
                  <a:lumMod val="40000"/>
                  <a:lumOff val="60000"/>
                </a:schemeClr>
              </a:gs>
            </a:gsLst>
            <a:lin ang="5400000" scaled="0"/>
          </a:gradFill>
        </a:ln>
        <a:effectLst>
          <a:reflection blurRad="6350" stA="52000" endA="300" endPos="35000" dir="5400000" sy="-100000" algn="bl" rotWithShape="0"/>
        </a:effectLst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i="0" baseline="0"/>
            <a:t> Santoprene 231 201-87</a:t>
          </a:r>
          <a:endParaRPr lang="pt-BR" sz="1200" b="1" i="0"/>
        </a:p>
      </xdr:txBody>
    </xdr:sp>
    <xdr:clientData/>
  </xdr:twoCellAnchor>
  <xdr:twoCellAnchor editAs="absolute">
    <xdr:from>
      <xdr:col>2</xdr:col>
      <xdr:colOff>900118</xdr:colOff>
      <xdr:row>11</xdr:row>
      <xdr:rowOff>9088</xdr:rowOff>
    </xdr:from>
    <xdr:to>
      <xdr:col>8</xdr:col>
      <xdr:colOff>453449</xdr:colOff>
      <xdr:row>15</xdr:row>
      <xdr:rowOff>147088</xdr:rowOff>
    </xdr:to>
    <xdr:sp macro="" textlink="">
      <xdr:nvSpPr>
        <xdr:cNvPr id="41" name="Bisel 40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xmlns="" id="{00000000-0008-0000-0200-000029000000}"/>
            </a:ext>
          </a:extLst>
        </xdr:cNvPr>
        <xdr:cNvSpPr>
          <a:spLocks noChangeAspect="1"/>
        </xdr:cNvSpPr>
      </xdr:nvSpPr>
      <xdr:spPr>
        <a:xfrm>
          <a:off x="3929068" y="3304738"/>
          <a:ext cx="3515731" cy="900000"/>
        </a:xfrm>
        <a:prstGeom prst="bevel">
          <a:avLst/>
        </a:prstGeom>
        <a:gradFill flip="none" rotWithShape="1">
          <a:gsLst>
            <a:gs pos="58000">
              <a:schemeClr val="accent1">
                <a:lumMod val="48000"/>
              </a:schemeClr>
            </a:gs>
            <a:gs pos="77000">
              <a:schemeClr val="accent1">
                <a:lumMod val="84000"/>
                <a:alpha val="92000"/>
              </a:schemeClr>
            </a:gs>
            <a:gs pos="95000">
              <a:schemeClr val="accent1">
                <a:lumMod val="90000"/>
                <a:alpha val="79000"/>
              </a:schemeClr>
            </a:gs>
          </a:gsLst>
          <a:lin ang="16200000" scaled="1"/>
          <a:tileRect/>
        </a:gradFill>
        <a:ln>
          <a:gradFill>
            <a:gsLst>
              <a:gs pos="20000">
                <a:schemeClr val="tx2">
                  <a:lumMod val="40000"/>
                  <a:lumOff val="60000"/>
                </a:schemeClr>
              </a:gs>
              <a:gs pos="90000">
                <a:schemeClr val="tx2">
                  <a:lumMod val="50000"/>
                </a:schemeClr>
              </a:gs>
              <a:gs pos="40000">
                <a:schemeClr val="tx2">
                  <a:lumMod val="75000"/>
                </a:schemeClr>
              </a:gs>
            </a:gsLst>
            <a:lin ang="5400000" scaled="0"/>
          </a:gradFill>
        </a:ln>
        <a:effectLst>
          <a:reflection blurRad="6350" stA="52000" endA="300" endPos="35000" dir="5400000" sy="-100000" algn="bl" rotWithShape="0"/>
        </a:effectLst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i="0" baseline="0"/>
            <a:t>PSAI U8878</a:t>
          </a:r>
        </a:p>
      </xdr:txBody>
    </xdr:sp>
    <xdr:clientData/>
  </xdr:twoCellAnchor>
  <xdr:twoCellAnchor editAs="absolute">
    <xdr:from>
      <xdr:col>3</xdr:col>
      <xdr:colOff>4768</xdr:colOff>
      <xdr:row>17</xdr:row>
      <xdr:rowOff>129445</xdr:rowOff>
    </xdr:from>
    <xdr:to>
      <xdr:col>8</xdr:col>
      <xdr:colOff>462974</xdr:colOff>
      <xdr:row>22</xdr:row>
      <xdr:rowOff>76945</xdr:rowOff>
    </xdr:to>
    <xdr:sp macro="" textlink="">
      <xdr:nvSpPr>
        <xdr:cNvPr id="42" name="Bisel 41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xmlns="" id="{00000000-0008-0000-0200-00002A000000}"/>
            </a:ext>
          </a:extLst>
        </xdr:cNvPr>
        <xdr:cNvSpPr>
          <a:spLocks noChangeAspect="1"/>
        </xdr:cNvSpPr>
      </xdr:nvSpPr>
      <xdr:spPr>
        <a:xfrm>
          <a:off x="3948118" y="4568095"/>
          <a:ext cx="3506206" cy="900000"/>
        </a:xfrm>
        <a:prstGeom prst="bevel">
          <a:avLst/>
        </a:prstGeom>
        <a:gradFill flip="none" rotWithShape="1">
          <a:gsLst>
            <a:gs pos="58000">
              <a:schemeClr val="accent1">
                <a:lumMod val="48000"/>
              </a:schemeClr>
            </a:gs>
            <a:gs pos="77000">
              <a:schemeClr val="accent1">
                <a:lumMod val="84000"/>
                <a:alpha val="92000"/>
              </a:schemeClr>
            </a:gs>
            <a:gs pos="95000">
              <a:schemeClr val="accent1">
                <a:lumMod val="90000"/>
                <a:alpha val="79000"/>
              </a:schemeClr>
            </a:gs>
          </a:gsLst>
          <a:lin ang="16200000" scaled="1"/>
          <a:tileRect/>
        </a:gradFill>
        <a:ln>
          <a:gradFill>
            <a:gsLst>
              <a:gs pos="20000">
                <a:schemeClr val="tx2">
                  <a:lumMod val="40000"/>
                  <a:lumOff val="60000"/>
                </a:schemeClr>
              </a:gs>
              <a:gs pos="90000">
                <a:schemeClr val="tx2">
                  <a:lumMod val="50000"/>
                </a:schemeClr>
              </a:gs>
              <a:gs pos="40000">
                <a:schemeClr val="tx2">
                  <a:lumMod val="75000"/>
                </a:schemeClr>
              </a:gs>
            </a:gsLst>
            <a:lin ang="5400000" scaled="0"/>
          </a:gradFill>
        </a:ln>
        <a:effectLst>
          <a:reflection blurRad="6350" stA="52000" endA="300" endPos="35000" dir="5400000" sy="-100000" algn="bl" rotWithShape="0"/>
        </a:effectLst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i="0" baseline="0"/>
            <a:t>PS 535</a:t>
          </a:r>
          <a:endParaRPr lang="pt-BR" sz="1050" b="1" i="0"/>
        </a:p>
      </xdr:txBody>
    </xdr:sp>
    <xdr:clientData/>
  </xdr:twoCellAnchor>
  <xdr:twoCellAnchor editAs="absolute">
    <xdr:from>
      <xdr:col>2</xdr:col>
      <xdr:colOff>901840</xdr:colOff>
      <xdr:row>24</xdr:row>
      <xdr:rowOff>95669</xdr:rowOff>
    </xdr:from>
    <xdr:to>
      <xdr:col>8</xdr:col>
      <xdr:colOff>432844</xdr:colOff>
      <xdr:row>29</xdr:row>
      <xdr:rowOff>43169</xdr:rowOff>
    </xdr:to>
    <xdr:sp macro="" textlink="">
      <xdr:nvSpPr>
        <xdr:cNvPr id="43" name="Bisel 42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xmlns="" id="{00000000-0008-0000-0200-00002B000000}"/>
            </a:ext>
          </a:extLst>
        </xdr:cNvPr>
        <xdr:cNvSpPr>
          <a:spLocks noChangeAspect="1"/>
        </xdr:cNvSpPr>
      </xdr:nvSpPr>
      <xdr:spPr>
        <a:xfrm>
          <a:off x="3930790" y="5867819"/>
          <a:ext cx="3493404" cy="900000"/>
        </a:xfrm>
        <a:prstGeom prst="bevel">
          <a:avLst/>
        </a:prstGeom>
        <a:gradFill flip="none" rotWithShape="1">
          <a:gsLst>
            <a:gs pos="58000">
              <a:schemeClr val="accent1">
                <a:lumMod val="48000"/>
              </a:schemeClr>
            </a:gs>
            <a:gs pos="77000">
              <a:schemeClr val="accent1">
                <a:lumMod val="84000"/>
                <a:alpha val="92000"/>
              </a:schemeClr>
            </a:gs>
            <a:gs pos="95000">
              <a:schemeClr val="accent1">
                <a:lumMod val="90000"/>
                <a:alpha val="79000"/>
              </a:schemeClr>
            </a:gs>
          </a:gsLst>
          <a:lin ang="16200000" scaled="1"/>
          <a:tileRect/>
        </a:gradFill>
        <a:ln>
          <a:gradFill>
            <a:gsLst>
              <a:gs pos="20000">
                <a:schemeClr val="tx2">
                  <a:lumMod val="40000"/>
                  <a:lumOff val="60000"/>
                </a:schemeClr>
              </a:gs>
              <a:gs pos="90000">
                <a:schemeClr val="tx2">
                  <a:lumMod val="50000"/>
                </a:schemeClr>
              </a:gs>
              <a:gs pos="40000">
                <a:schemeClr val="tx2">
                  <a:lumMod val="75000"/>
                </a:schemeClr>
              </a:gs>
            </a:gsLst>
            <a:lin ang="5400000" scaled="0"/>
          </a:gradFill>
        </a:ln>
        <a:effectLst>
          <a:reflection blurRad="6350" stA="52000" endA="300" endPos="35000" dir="5400000" sy="-100000" algn="bl" rotWithShape="0"/>
        </a:effectLst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i="0" baseline="0"/>
            <a:t>PS N2560</a:t>
          </a:r>
          <a:endParaRPr lang="pt-BR" sz="1050" b="1" i="0"/>
        </a:p>
      </xdr:txBody>
    </xdr:sp>
    <xdr:clientData/>
  </xdr:twoCellAnchor>
  <xdr:twoCellAnchor editAs="absolute">
    <xdr:from>
      <xdr:col>3</xdr:col>
      <xdr:colOff>3</xdr:colOff>
      <xdr:row>31</xdr:row>
      <xdr:rowOff>3450</xdr:rowOff>
    </xdr:from>
    <xdr:to>
      <xdr:col>8</xdr:col>
      <xdr:colOff>458209</xdr:colOff>
      <xdr:row>35</xdr:row>
      <xdr:rowOff>141450</xdr:rowOff>
    </xdr:to>
    <xdr:sp macro="" textlink="">
      <xdr:nvSpPr>
        <xdr:cNvPr id="44" name="Bisel 43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xmlns="" id="{00000000-0008-0000-0200-00002C000000}"/>
            </a:ext>
          </a:extLst>
        </xdr:cNvPr>
        <xdr:cNvSpPr>
          <a:spLocks noChangeAspect="1"/>
        </xdr:cNvSpPr>
      </xdr:nvSpPr>
      <xdr:spPr>
        <a:xfrm>
          <a:off x="3943353" y="7109100"/>
          <a:ext cx="3506206" cy="900000"/>
        </a:xfrm>
        <a:prstGeom prst="bevel">
          <a:avLst/>
        </a:prstGeom>
        <a:gradFill flip="none" rotWithShape="1">
          <a:gsLst>
            <a:gs pos="58000">
              <a:schemeClr val="accent1">
                <a:lumMod val="48000"/>
              </a:schemeClr>
            </a:gs>
            <a:gs pos="77000">
              <a:schemeClr val="accent1">
                <a:lumMod val="84000"/>
                <a:alpha val="92000"/>
              </a:schemeClr>
            </a:gs>
            <a:gs pos="95000">
              <a:schemeClr val="accent1">
                <a:lumMod val="90000"/>
                <a:alpha val="79000"/>
              </a:schemeClr>
            </a:gs>
          </a:gsLst>
          <a:lin ang="16200000" scaled="1"/>
          <a:tileRect/>
        </a:gradFill>
        <a:ln>
          <a:gradFill>
            <a:gsLst>
              <a:gs pos="20000">
                <a:schemeClr val="tx2">
                  <a:lumMod val="40000"/>
                  <a:lumOff val="60000"/>
                </a:schemeClr>
              </a:gs>
              <a:gs pos="90000">
                <a:schemeClr val="tx2">
                  <a:lumMod val="50000"/>
                </a:schemeClr>
              </a:gs>
              <a:gs pos="40000">
                <a:schemeClr val="tx2">
                  <a:lumMod val="75000"/>
                </a:schemeClr>
              </a:gs>
            </a:gsLst>
            <a:lin ang="5400000" scaled="0"/>
          </a:gradFill>
        </a:ln>
        <a:effectLst>
          <a:reflection blurRad="6350" stA="52000" endA="300" endPos="35000" dir="5400000" sy="-100000" algn="bl" rotWithShape="0"/>
        </a:effectLst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i="0" baseline="0"/>
            <a:t>PS U288</a:t>
          </a:r>
          <a:endParaRPr lang="pt-BR" sz="1050" b="1" i="0"/>
        </a:p>
      </xdr:txBody>
    </xdr:sp>
    <xdr:clientData/>
  </xdr:twoCellAnchor>
  <xdr:twoCellAnchor editAs="absolute">
    <xdr:from>
      <xdr:col>28</xdr:col>
      <xdr:colOff>295263</xdr:colOff>
      <xdr:row>4</xdr:row>
      <xdr:rowOff>57171</xdr:rowOff>
    </xdr:from>
    <xdr:to>
      <xdr:col>32</xdr:col>
      <xdr:colOff>1252076</xdr:colOff>
      <xdr:row>9</xdr:row>
      <xdr:rowOff>4671</xdr:rowOff>
    </xdr:to>
    <xdr:sp macro="" textlink="">
      <xdr:nvSpPr>
        <xdr:cNvPr id="45" name="Bisel 44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xmlns="" id="{00000000-0008-0000-0200-00002D000000}"/>
            </a:ext>
          </a:extLst>
        </xdr:cNvPr>
        <xdr:cNvSpPr>
          <a:spLocks/>
        </xdr:cNvSpPr>
      </xdr:nvSpPr>
      <xdr:spPr>
        <a:xfrm>
          <a:off x="19821513" y="2019321"/>
          <a:ext cx="3566663" cy="900000"/>
        </a:xfrm>
        <a:prstGeom prst="bevel">
          <a:avLst/>
        </a:prstGeom>
        <a:gradFill flip="none" rotWithShape="1">
          <a:gsLst>
            <a:gs pos="58000">
              <a:schemeClr val="accent2">
                <a:lumMod val="50000"/>
              </a:schemeClr>
            </a:gs>
            <a:gs pos="77000">
              <a:schemeClr val="accent2">
                <a:lumMod val="60000"/>
                <a:lumOff val="40000"/>
              </a:schemeClr>
            </a:gs>
            <a:gs pos="95000">
              <a:schemeClr val="accent2">
                <a:lumMod val="40000"/>
                <a:lumOff val="60000"/>
              </a:schemeClr>
            </a:gs>
          </a:gsLst>
          <a:lin ang="16200000" scaled="0"/>
          <a:tileRect/>
        </a:gradFill>
        <a:ln>
          <a:gradFill>
            <a:gsLst>
              <a:gs pos="90000">
                <a:schemeClr val="accent2">
                  <a:lumMod val="50000"/>
                </a:schemeClr>
              </a:gs>
              <a:gs pos="40000">
                <a:schemeClr val="accent2">
                  <a:lumMod val="75000"/>
                </a:schemeClr>
              </a:gs>
              <a:gs pos="20000">
                <a:schemeClr val="accent2">
                  <a:lumMod val="40000"/>
                  <a:lumOff val="60000"/>
                </a:schemeClr>
              </a:gs>
            </a:gsLst>
            <a:lin ang="5400000" scaled="0"/>
          </a:gradFill>
        </a:ln>
        <a:effectLst>
          <a:reflection blurRad="6350" stA="52000" endA="300" endPos="35000" dir="5400000" sy="-100000" algn="bl" rotWithShape="0"/>
        </a:effectLst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i="0" baseline="0"/>
            <a:t>ABS GP22</a:t>
          </a:r>
          <a:endParaRPr lang="pt-BR" sz="1050" b="1" i="0"/>
        </a:p>
      </xdr:txBody>
    </xdr:sp>
    <xdr:clientData/>
  </xdr:twoCellAnchor>
  <xdr:twoCellAnchor editAs="absolute">
    <xdr:from>
      <xdr:col>28</xdr:col>
      <xdr:colOff>304789</xdr:colOff>
      <xdr:row>17</xdr:row>
      <xdr:rowOff>52406</xdr:rowOff>
    </xdr:from>
    <xdr:to>
      <xdr:col>32</xdr:col>
      <xdr:colOff>1261602</xdr:colOff>
      <xdr:row>21</xdr:row>
      <xdr:rowOff>190406</xdr:rowOff>
    </xdr:to>
    <xdr:sp macro="" textlink="">
      <xdr:nvSpPr>
        <xdr:cNvPr id="46" name="Bisel 45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xmlns="" id="{00000000-0008-0000-0200-00002E000000}"/>
            </a:ext>
          </a:extLst>
        </xdr:cNvPr>
        <xdr:cNvSpPr>
          <a:spLocks/>
        </xdr:cNvSpPr>
      </xdr:nvSpPr>
      <xdr:spPr>
        <a:xfrm>
          <a:off x="19831039" y="4491056"/>
          <a:ext cx="3566663" cy="900000"/>
        </a:xfrm>
        <a:prstGeom prst="bevel">
          <a:avLst/>
        </a:prstGeom>
        <a:gradFill flip="none" rotWithShape="1">
          <a:gsLst>
            <a:gs pos="58000">
              <a:schemeClr val="accent2">
                <a:lumMod val="50000"/>
              </a:schemeClr>
            </a:gs>
            <a:gs pos="77000">
              <a:schemeClr val="accent2">
                <a:lumMod val="60000"/>
                <a:lumOff val="40000"/>
              </a:schemeClr>
            </a:gs>
            <a:gs pos="95000">
              <a:schemeClr val="accent2">
                <a:lumMod val="40000"/>
                <a:lumOff val="60000"/>
              </a:schemeClr>
            </a:gs>
          </a:gsLst>
          <a:lin ang="16200000" scaled="0"/>
          <a:tileRect/>
        </a:gradFill>
        <a:ln>
          <a:gradFill>
            <a:gsLst>
              <a:gs pos="90000">
                <a:schemeClr val="accent2">
                  <a:lumMod val="50000"/>
                </a:schemeClr>
              </a:gs>
              <a:gs pos="40000">
                <a:schemeClr val="accent2">
                  <a:lumMod val="75000"/>
                </a:schemeClr>
              </a:gs>
              <a:gs pos="20000">
                <a:schemeClr val="accent2">
                  <a:lumMod val="40000"/>
                  <a:lumOff val="60000"/>
                </a:schemeClr>
              </a:gs>
            </a:gsLst>
            <a:lin ang="5400000" scaled="0"/>
          </a:gradFill>
        </a:ln>
        <a:effectLst>
          <a:reflection blurRad="6350" stA="52000" endA="300" endPos="35000" dir="5400000" sy="-100000" algn="bl" rotWithShape="0"/>
        </a:effectLst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i="0" baseline="0"/>
            <a:t>MABS 2802</a:t>
          </a:r>
          <a:endParaRPr lang="pt-BR" sz="1050" b="1" i="0"/>
        </a:p>
      </xdr:txBody>
    </xdr:sp>
    <xdr:clientData/>
  </xdr:twoCellAnchor>
  <xdr:twoCellAnchor editAs="absolute">
    <xdr:from>
      <xdr:col>11</xdr:col>
      <xdr:colOff>155858</xdr:colOff>
      <xdr:row>4</xdr:row>
      <xdr:rowOff>61481</xdr:rowOff>
    </xdr:from>
    <xdr:to>
      <xdr:col>17</xdr:col>
      <xdr:colOff>4464</xdr:colOff>
      <xdr:row>9</xdr:row>
      <xdr:rowOff>8981</xdr:rowOff>
    </xdr:to>
    <xdr:sp macro="" textlink="">
      <xdr:nvSpPr>
        <xdr:cNvPr id="49" name="Bisel 48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xmlns="" id="{00000000-0008-0000-0200-000031000000}"/>
            </a:ext>
          </a:extLst>
        </xdr:cNvPr>
        <xdr:cNvSpPr>
          <a:spLocks noChangeAspect="1"/>
        </xdr:cNvSpPr>
      </xdr:nvSpPr>
      <xdr:spPr>
        <a:xfrm>
          <a:off x="8976008" y="2023631"/>
          <a:ext cx="3506206" cy="900000"/>
        </a:xfrm>
        <a:prstGeom prst="bevel">
          <a:avLst/>
        </a:prstGeom>
        <a:gradFill flip="none" rotWithShape="1">
          <a:gsLst>
            <a:gs pos="58000">
              <a:schemeClr val="accent6">
                <a:lumMod val="50000"/>
              </a:schemeClr>
            </a:gs>
            <a:gs pos="77000">
              <a:schemeClr val="accent6">
                <a:lumMod val="75000"/>
              </a:schemeClr>
            </a:gs>
            <a:gs pos="95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gradFill>
            <a:gsLst>
              <a:gs pos="90000">
                <a:schemeClr val="accent6">
                  <a:lumMod val="50000"/>
                </a:schemeClr>
              </a:gs>
              <a:gs pos="40000">
                <a:schemeClr val="accent6">
                  <a:lumMod val="75000"/>
                </a:schemeClr>
              </a:gs>
              <a:gs pos="20000">
                <a:schemeClr val="accent6">
                  <a:lumMod val="40000"/>
                  <a:lumOff val="60000"/>
                </a:schemeClr>
              </a:gs>
            </a:gsLst>
            <a:lin ang="5400000" scaled="0"/>
          </a:gradFill>
        </a:ln>
        <a:effectLst>
          <a:reflection blurRad="6350" stA="52000" endA="300" endPos="35000" dir="5400000" sy="-100000" algn="bl" rotWithShape="0"/>
        </a:effectLst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i="0" baseline="0"/>
            <a:t>PP H603</a:t>
          </a:r>
          <a:endParaRPr lang="pt-BR" sz="1050" b="1" i="0"/>
        </a:p>
      </xdr:txBody>
    </xdr:sp>
    <xdr:clientData/>
  </xdr:twoCellAnchor>
  <xdr:twoCellAnchor editAs="absolute">
    <xdr:from>
      <xdr:col>11</xdr:col>
      <xdr:colOff>160622</xdr:colOff>
      <xdr:row>11</xdr:row>
      <xdr:rowOff>20779</xdr:rowOff>
    </xdr:from>
    <xdr:to>
      <xdr:col>16</xdr:col>
      <xdr:colOff>609303</xdr:colOff>
      <xdr:row>15</xdr:row>
      <xdr:rowOff>158779</xdr:rowOff>
    </xdr:to>
    <xdr:sp macro="" textlink="">
      <xdr:nvSpPr>
        <xdr:cNvPr id="52" name="Bisel 51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xmlns="" id="{00000000-0008-0000-0200-000034000000}"/>
            </a:ext>
          </a:extLst>
        </xdr:cNvPr>
        <xdr:cNvSpPr>
          <a:spLocks noChangeAspect="1"/>
        </xdr:cNvSpPr>
      </xdr:nvSpPr>
      <xdr:spPr>
        <a:xfrm>
          <a:off x="8980772" y="3316429"/>
          <a:ext cx="3496681" cy="900000"/>
        </a:xfrm>
        <a:prstGeom prst="bevel">
          <a:avLst/>
        </a:prstGeom>
        <a:gradFill flip="none" rotWithShape="1">
          <a:gsLst>
            <a:gs pos="58000">
              <a:schemeClr val="accent6">
                <a:lumMod val="50000"/>
              </a:schemeClr>
            </a:gs>
            <a:gs pos="77000">
              <a:schemeClr val="accent6">
                <a:lumMod val="75000"/>
              </a:schemeClr>
            </a:gs>
            <a:gs pos="95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gradFill>
            <a:gsLst>
              <a:gs pos="90000">
                <a:schemeClr val="accent6">
                  <a:lumMod val="50000"/>
                </a:schemeClr>
              </a:gs>
              <a:gs pos="40000">
                <a:schemeClr val="accent6">
                  <a:lumMod val="75000"/>
                </a:schemeClr>
              </a:gs>
              <a:gs pos="20000">
                <a:schemeClr val="accent6">
                  <a:lumMod val="40000"/>
                  <a:lumOff val="60000"/>
                </a:schemeClr>
              </a:gs>
            </a:gsLst>
            <a:lin ang="5400000" scaled="0"/>
          </a:gradFill>
        </a:ln>
        <a:effectLst>
          <a:reflection blurRad="6350" stA="52000" endA="300" endPos="35000" dir="5400000" sy="-100000" algn="bl" rotWithShape="0"/>
        </a:effectLst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i="0" baseline="0"/>
            <a:t>PP DP105A</a:t>
          </a:r>
          <a:endParaRPr lang="pt-BR" sz="1050" b="1" i="0"/>
        </a:p>
      </xdr:txBody>
    </xdr:sp>
    <xdr:clientData/>
  </xdr:twoCellAnchor>
  <xdr:twoCellAnchor editAs="absolute">
    <xdr:from>
      <xdr:col>11</xdr:col>
      <xdr:colOff>170147</xdr:colOff>
      <xdr:row>17</xdr:row>
      <xdr:rowOff>141136</xdr:rowOff>
    </xdr:from>
    <xdr:to>
      <xdr:col>17</xdr:col>
      <xdr:colOff>9228</xdr:colOff>
      <xdr:row>22</xdr:row>
      <xdr:rowOff>88636</xdr:rowOff>
    </xdr:to>
    <xdr:sp macro="" textlink="">
      <xdr:nvSpPr>
        <xdr:cNvPr id="53" name="Bisel 52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xmlns="" id="{00000000-0008-0000-0200-000035000000}"/>
            </a:ext>
          </a:extLst>
        </xdr:cNvPr>
        <xdr:cNvSpPr>
          <a:spLocks noChangeAspect="1"/>
        </xdr:cNvSpPr>
      </xdr:nvSpPr>
      <xdr:spPr>
        <a:xfrm>
          <a:off x="8990297" y="4579786"/>
          <a:ext cx="3496681" cy="900000"/>
        </a:xfrm>
        <a:prstGeom prst="bevel">
          <a:avLst/>
        </a:prstGeom>
        <a:gradFill flip="none" rotWithShape="1">
          <a:gsLst>
            <a:gs pos="58000">
              <a:schemeClr val="accent6">
                <a:lumMod val="50000"/>
              </a:schemeClr>
            </a:gs>
            <a:gs pos="77000">
              <a:schemeClr val="accent6">
                <a:lumMod val="75000"/>
              </a:schemeClr>
            </a:gs>
            <a:gs pos="95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gradFill>
            <a:gsLst>
              <a:gs pos="90000">
                <a:schemeClr val="accent6">
                  <a:lumMod val="50000"/>
                </a:schemeClr>
              </a:gs>
              <a:gs pos="40000">
                <a:schemeClr val="accent6">
                  <a:lumMod val="75000"/>
                </a:schemeClr>
              </a:gs>
              <a:gs pos="20000">
                <a:schemeClr val="accent6">
                  <a:lumMod val="40000"/>
                  <a:lumOff val="60000"/>
                </a:schemeClr>
              </a:gs>
            </a:gsLst>
            <a:lin ang="5400000" scaled="0"/>
          </a:gradFill>
        </a:ln>
        <a:effectLst>
          <a:reflection blurRad="6350" stA="52000" endA="300" endPos="35000" dir="5400000" sy="-100000" algn="bl" rotWithShape="0"/>
        </a:effectLst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i="0" baseline="0"/>
            <a:t>PP H105</a:t>
          </a:r>
          <a:endParaRPr lang="pt-BR" sz="1050" b="1" i="0"/>
        </a:p>
      </xdr:txBody>
    </xdr:sp>
    <xdr:clientData/>
  </xdr:twoCellAnchor>
  <xdr:twoCellAnchor editAs="absolute">
    <xdr:from>
      <xdr:col>11</xdr:col>
      <xdr:colOff>179662</xdr:colOff>
      <xdr:row>24</xdr:row>
      <xdr:rowOff>124678</xdr:rowOff>
    </xdr:from>
    <xdr:to>
      <xdr:col>16</xdr:col>
      <xdr:colOff>606016</xdr:colOff>
      <xdr:row>29</xdr:row>
      <xdr:rowOff>72178</xdr:rowOff>
    </xdr:to>
    <xdr:sp macro="" textlink="">
      <xdr:nvSpPr>
        <xdr:cNvPr id="54" name="Bisel 53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xmlns="" id="{00000000-0008-0000-0200-000036000000}"/>
            </a:ext>
          </a:extLst>
        </xdr:cNvPr>
        <xdr:cNvSpPr>
          <a:spLocks noChangeAspect="1"/>
        </xdr:cNvSpPr>
      </xdr:nvSpPr>
      <xdr:spPr>
        <a:xfrm>
          <a:off x="8999812" y="5896828"/>
          <a:ext cx="3474354" cy="900000"/>
        </a:xfrm>
        <a:prstGeom prst="bevel">
          <a:avLst/>
        </a:prstGeom>
        <a:gradFill flip="none" rotWithShape="1">
          <a:gsLst>
            <a:gs pos="58000">
              <a:schemeClr val="accent6">
                <a:lumMod val="50000"/>
              </a:schemeClr>
            </a:gs>
            <a:gs pos="77000">
              <a:schemeClr val="accent6">
                <a:lumMod val="75000"/>
              </a:schemeClr>
            </a:gs>
            <a:gs pos="95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gradFill>
            <a:gsLst>
              <a:gs pos="90000">
                <a:schemeClr val="accent6">
                  <a:lumMod val="50000"/>
                </a:schemeClr>
              </a:gs>
              <a:gs pos="40000">
                <a:schemeClr val="accent6">
                  <a:lumMod val="75000"/>
                </a:schemeClr>
              </a:gs>
              <a:gs pos="20000">
                <a:schemeClr val="accent6">
                  <a:lumMod val="40000"/>
                  <a:lumOff val="60000"/>
                </a:schemeClr>
              </a:gs>
            </a:gsLst>
            <a:lin ang="5400000" scaled="0"/>
          </a:gradFill>
        </a:ln>
        <a:effectLst>
          <a:reflection blurRad="6350" stA="52000" endA="300" endPos="35000" dir="5400000" sy="-100000" algn="bl" rotWithShape="0"/>
        </a:effectLst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i="0" baseline="0"/>
            <a:t>PP PT400NAQ</a:t>
          </a:r>
          <a:endParaRPr lang="pt-BR" sz="1050" b="1" i="0"/>
        </a:p>
      </xdr:txBody>
    </xdr:sp>
    <xdr:clientData/>
  </xdr:twoCellAnchor>
  <xdr:twoCellAnchor editAs="absolute">
    <xdr:from>
      <xdr:col>11</xdr:col>
      <xdr:colOff>155857</xdr:colOff>
      <xdr:row>31</xdr:row>
      <xdr:rowOff>68827</xdr:rowOff>
    </xdr:from>
    <xdr:to>
      <xdr:col>17</xdr:col>
      <xdr:colOff>4463</xdr:colOff>
      <xdr:row>36</xdr:row>
      <xdr:rowOff>16327</xdr:rowOff>
    </xdr:to>
    <xdr:sp macro="" textlink="">
      <xdr:nvSpPr>
        <xdr:cNvPr id="55" name="Bisel 54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xmlns="" id="{00000000-0008-0000-0200-000037000000}"/>
            </a:ext>
          </a:extLst>
        </xdr:cNvPr>
        <xdr:cNvSpPr>
          <a:spLocks noChangeAspect="1"/>
        </xdr:cNvSpPr>
      </xdr:nvSpPr>
      <xdr:spPr>
        <a:xfrm>
          <a:off x="8976007" y="7174477"/>
          <a:ext cx="3506206" cy="900000"/>
        </a:xfrm>
        <a:prstGeom prst="bevel">
          <a:avLst/>
        </a:prstGeom>
        <a:gradFill flip="none" rotWithShape="1">
          <a:gsLst>
            <a:gs pos="58000">
              <a:schemeClr val="accent6">
                <a:lumMod val="50000"/>
              </a:schemeClr>
            </a:gs>
            <a:gs pos="77000">
              <a:schemeClr val="accent6">
                <a:lumMod val="75000"/>
              </a:schemeClr>
            </a:gs>
            <a:gs pos="95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gradFill>
            <a:gsLst>
              <a:gs pos="90000">
                <a:schemeClr val="accent6">
                  <a:lumMod val="50000"/>
                </a:schemeClr>
              </a:gs>
              <a:gs pos="40000">
                <a:schemeClr val="accent6">
                  <a:lumMod val="75000"/>
                </a:schemeClr>
              </a:gs>
              <a:gs pos="20000">
                <a:schemeClr val="accent6">
                  <a:lumMod val="40000"/>
                  <a:lumOff val="60000"/>
                </a:schemeClr>
              </a:gs>
            </a:gsLst>
            <a:lin ang="5400000" scaled="0"/>
          </a:gradFill>
        </a:ln>
        <a:effectLst>
          <a:reflection blurRad="6350" stA="52000" endA="300" endPos="35000" dir="5400000" sy="-100000" algn="bl" rotWithShape="0"/>
        </a:effectLst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i="0" baseline="0"/>
            <a:t>PP FT120W</a:t>
          </a:r>
          <a:endParaRPr lang="pt-BR" sz="1050" b="1" i="0"/>
        </a:p>
      </xdr:txBody>
    </xdr:sp>
    <xdr:clientData/>
  </xdr:twoCellAnchor>
  <xdr:twoCellAnchor editAs="absolute">
    <xdr:from>
      <xdr:col>28</xdr:col>
      <xdr:colOff>319103</xdr:colOff>
      <xdr:row>23</xdr:row>
      <xdr:rowOff>171461</xdr:rowOff>
    </xdr:from>
    <xdr:to>
      <xdr:col>32</xdr:col>
      <xdr:colOff>1275916</xdr:colOff>
      <xdr:row>28</xdr:row>
      <xdr:rowOff>118961</xdr:rowOff>
    </xdr:to>
    <xdr:sp macro="" textlink="">
      <xdr:nvSpPr>
        <xdr:cNvPr id="56" name="Bisel 55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xmlns="" id="{00000000-0008-0000-0200-000038000000}"/>
            </a:ext>
          </a:extLst>
        </xdr:cNvPr>
        <xdr:cNvSpPr>
          <a:spLocks/>
        </xdr:cNvSpPr>
      </xdr:nvSpPr>
      <xdr:spPr>
        <a:xfrm>
          <a:off x="19845353" y="5753111"/>
          <a:ext cx="3566663" cy="900000"/>
        </a:xfrm>
        <a:prstGeom prst="bevel">
          <a:avLst/>
        </a:prstGeom>
        <a:gradFill flip="none" rotWithShape="1">
          <a:gsLst>
            <a:gs pos="58000">
              <a:schemeClr val="accent2">
                <a:lumMod val="50000"/>
              </a:schemeClr>
            </a:gs>
            <a:gs pos="77000">
              <a:schemeClr val="accent2">
                <a:lumMod val="60000"/>
                <a:lumOff val="40000"/>
              </a:schemeClr>
            </a:gs>
            <a:gs pos="95000">
              <a:schemeClr val="accent2">
                <a:lumMod val="40000"/>
                <a:lumOff val="60000"/>
              </a:schemeClr>
            </a:gs>
          </a:gsLst>
          <a:lin ang="16200000" scaled="0"/>
          <a:tileRect/>
        </a:gradFill>
        <a:ln>
          <a:gradFill>
            <a:gsLst>
              <a:gs pos="90000">
                <a:schemeClr val="accent2">
                  <a:lumMod val="50000"/>
                </a:schemeClr>
              </a:gs>
              <a:gs pos="40000">
                <a:schemeClr val="accent2">
                  <a:lumMod val="75000"/>
                </a:schemeClr>
              </a:gs>
              <a:gs pos="20000">
                <a:schemeClr val="accent2">
                  <a:lumMod val="40000"/>
                  <a:lumOff val="60000"/>
                </a:schemeClr>
              </a:gs>
            </a:gsLst>
            <a:lin ang="5400000" scaled="0"/>
          </a:gradFill>
        </a:ln>
        <a:effectLst>
          <a:reflection blurRad="6350" stA="52000" endA="300" endPos="35000" dir="5400000" sy="-100000" algn="bl" rotWithShape="0"/>
        </a:effectLst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i="0" baseline="0"/>
            <a:t>POLICARBONATO 2456</a:t>
          </a:r>
        </a:p>
      </xdr:txBody>
    </xdr:sp>
    <xdr:clientData/>
  </xdr:twoCellAnchor>
  <xdr:twoCellAnchor editAs="absolute">
    <xdr:from>
      <xdr:col>28</xdr:col>
      <xdr:colOff>290527</xdr:colOff>
      <xdr:row>10</xdr:row>
      <xdr:rowOff>133374</xdr:rowOff>
    </xdr:from>
    <xdr:to>
      <xdr:col>32</xdr:col>
      <xdr:colOff>1247340</xdr:colOff>
      <xdr:row>15</xdr:row>
      <xdr:rowOff>80874</xdr:rowOff>
    </xdr:to>
    <xdr:sp macro="" textlink="">
      <xdr:nvSpPr>
        <xdr:cNvPr id="57" name="Bisel 56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xmlns="" id="{00000000-0008-0000-0200-000039000000}"/>
            </a:ext>
          </a:extLst>
        </xdr:cNvPr>
        <xdr:cNvSpPr>
          <a:spLocks/>
        </xdr:cNvSpPr>
      </xdr:nvSpPr>
      <xdr:spPr>
        <a:xfrm>
          <a:off x="19816777" y="3238524"/>
          <a:ext cx="3566663" cy="900000"/>
        </a:xfrm>
        <a:prstGeom prst="bevel">
          <a:avLst/>
        </a:prstGeom>
        <a:gradFill flip="none" rotWithShape="1">
          <a:gsLst>
            <a:gs pos="58000">
              <a:schemeClr val="accent2">
                <a:lumMod val="50000"/>
              </a:schemeClr>
            </a:gs>
            <a:gs pos="77000">
              <a:schemeClr val="accent2">
                <a:lumMod val="60000"/>
                <a:lumOff val="40000"/>
              </a:schemeClr>
            </a:gs>
            <a:gs pos="95000">
              <a:schemeClr val="accent2">
                <a:lumMod val="40000"/>
                <a:lumOff val="60000"/>
              </a:schemeClr>
            </a:gs>
          </a:gsLst>
          <a:lin ang="16200000" scaled="0"/>
          <a:tileRect/>
        </a:gradFill>
        <a:ln>
          <a:gradFill>
            <a:gsLst>
              <a:gs pos="90000">
                <a:schemeClr val="accent2">
                  <a:lumMod val="50000"/>
                </a:schemeClr>
              </a:gs>
              <a:gs pos="40000">
                <a:schemeClr val="accent2">
                  <a:lumMod val="75000"/>
                </a:schemeClr>
              </a:gs>
              <a:gs pos="20000">
                <a:schemeClr val="accent2">
                  <a:lumMod val="40000"/>
                  <a:lumOff val="60000"/>
                </a:schemeClr>
              </a:gs>
            </a:gsLst>
            <a:lin ang="5400000" scaled="0"/>
          </a:gradFill>
        </a:ln>
        <a:effectLst>
          <a:reflection blurRad="6350" stA="52000" endA="300" endPos="35000" dir="5400000" sy="-100000" algn="bl" rotWithShape="0"/>
        </a:effectLst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i="0" baseline="0"/>
            <a:t>ABS MG47F</a:t>
          </a:r>
          <a:endParaRPr lang="pt-BR" sz="1050" b="1" i="0"/>
        </a:p>
      </xdr:txBody>
    </xdr:sp>
    <xdr:clientData/>
  </xdr:twoCellAnchor>
  <xdr:twoCellAnchor editAs="absolute">
    <xdr:from>
      <xdr:col>19</xdr:col>
      <xdr:colOff>485760</xdr:colOff>
      <xdr:row>4</xdr:row>
      <xdr:rowOff>80961</xdr:rowOff>
    </xdr:from>
    <xdr:to>
      <xdr:col>25</xdr:col>
      <xdr:colOff>991</xdr:colOff>
      <xdr:row>9</xdr:row>
      <xdr:rowOff>28461</xdr:rowOff>
    </xdr:to>
    <xdr:sp macro="" textlink="">
      <xdr:nvSpPr>
        <xdr:cNvPr id="58" name="Bisel 57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xmlns="" id="{00000000-0008-0000-0200-00003A000000}"/>
            </a:ext>
          </a:extLst>
        </xdr:cNvPr>
        <xdr:cNvSpPr>
          <a:spLocks noChangeAspect="1"/>
        </xdr:cNvSpPr>
      </xdr:nvSpPr>
      <xdr:spPr>
        <a:xfrm>
          <a:off x="14182710" y="2043111"/>
          <a:ext cx="3515731" cy="900000"/>
        </a:xfrm>
        <a:prstGeom prst="bevel">
          <a:avLst/>
        </a:prstGeom>
        <a:gradFill flip="none" rotWithShape="1">
          <a:gsLst>
            <a:gs pos="58000">
              <a:schemeClr val="accent3">
                <a:lumMod val="50000"/>
              </a:schemeClr>
            </a:gs>
            <a:gs pos="77000">
              <a:schemeClr val="accent3">
                <a:lumMod val="75000"/>
              </a:schemeClr>
            </a:gs>
            <a:gs pos="95000">
              <a:schemeClr val="accent3">
                <a:lumMod val="60000"/>
                <a:lumOff val="40000"/>
              </a:schemeClr>
            </a:gs>
          </a:gsLst>
          <a:lin ang="16200000" scaled="1"/>
          <a:tileRect/>
        </a:gradFill>
        <a:ln>
          <a:gradFill>
            <a:gsLst>
              <a:gs pos="90000">
                <a:schemeClr val="accent3">
                  <a:lumMod val="50000"/>
                </a:schemeClr>
              </a:gs>
              <a:gs pos="40000">
                <a:schemeClr val="accent3">
                  <a:lumMod val="75000"/>
                </a:schemeClr>
              </a:gs>
              <a:gs pos="20000">
                <a:schemeClr val="accent3">
                  <a:lumMod val="60000"/>
                  <a:lumOff val="40000"/>
                </a:schemeClr>
              </a:gs>
            </a:gsLst>
            <a:lin ang="5400000" scaled="0"/>
          </a:gradFill>
        </a:ln>
        <a:effectLst>
          <a:reflection blurRad="6350" stA="52000" endA="300" endPos="35000" dir="5400000" sy="-100000" algn="bl" rotWithShape="0"/>
        </a:effectLst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i="0" baseline="0"/>
            <a:t>PEBD BC818</a:t>
          </a:r>
          <a:endParaRPr lang="pt-BR" sz="1050" b="1" i="0"/>
        </a:p>
      </xdr:txBody>
    </xdr:sp>
    <xdr:clientData/>
  </xdr:twoCellAnchor>
  <xdr:twoCellAnchor editAs="absolute">
    <xdr:from>
      <xdr:col>19</xdr:col>
      <xdr:colOff>480998</xdr:colOff>
      <xdr:row>10</xdr:row>
      <xdr:rowOff>180969</xdr:rowOff>
    </xdr:from>
    <xdr:to>
      <xdr:col>24</xdr:col>
      <xdr:colOff>583901</xdr:colOff>
      <xdr:row>15</xdr:row>
      <xdr:rowOff>128469</xdr:rowOff>
    </xdr:to>
    <xdr:sp macro="" textlink="">
      <xdr:nvSpPr>
        <xdr:cNvPr id="60" name="Bisel 59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xmlns="" id="{00000000-0008-0000-0200-00003C000000}"/>
            </a:ext>
          </a:extLst>
        </xdr:cNvPr>
        <xdr:cNvSpPr>
          <a:spLocks noChangeAspect="1"/>
        </xdr:cNvSpPr>
      </xdr:nvSpPr>
      <xdr:spPr>
        <a:xfrm>
          <a:off x="14177948" y="3286119"/>
          <a:ext cx="3493803" cy="900000"/>
        </a:xfrm>
        <a:prstGeom prst="bevel">
          <a:avLst/>
        </a:prstGeom>
        <a:gradFill flip="none" rotWithShape="1">
          <a:gsLst>
            <a:gs pos="58000">
              <a:schemeClr val="accent3">
                <a:lumMod val="50000"/>
              </a:schemeClr>
            </a:gs>
            <a:gs pos="77000">
              <a:schemeClr val="accent3">
                <a:lumMod val="75000"/>
              </a:schemeClr>
            </a:gs>
            <a:gs pos="95000">
              <a:schemeClr val="accent3">
                <a:lumMod val="60000"/>
                <a:lumOff val="40000"/>
              </a:schemeClr>
            </a:gs>
          </a:gsLst>
          <a:lin ang="16200000" scaled="1"/>
          <a:tileRect/>
        </a:gradFill>
        <a:ln>
          <a:gradFill>
            <a:gsLst>
              <a:gs pos="90000">
                <a:schemeClr val="accent3">
                  <a:lumMod val="50000"/>
                </a:schemeClr>
              </a:gs>
              <a:gs pos="40000">
                <a:schemeClr val="accent3">
                  <a:lumMod val="75000"/>
                </a:schemeClr>
              </a:gs>
              <a:gs pos="20000">
                <a:schemeClr val="accent3">
                  <a:lumMod val="60000"/>
                  <a:lumOff val="40000"/>
                </a:schemeClr>
              </a:gs>
            </a:gsLst>
            <a:lin ang="5400000" scaled="0"/>
          </a:gradFill>
        </a:ln>
        <a:effectLst>
          <a:reflection blurRad="6350" stA="52000" endA="300" endPos="35000" dir="5400000" sy="-100000" algn="bl" rotWithShape="0"/>
        </a:effectLst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i="0" baseline="0"/>
            <a:t>PEBD LD5000A</a:t>
          </a:r>
          <a:endParaRPr lang="pt-BR" sz="1050" b="1" i="0"/>
        </a:p>
      </xdr:txBody>
    </xdr:sp>
    <xdr:clientData/>
  </xdr:twoCellAnchor>
  <xdr:twoCellAnchor editAs="absolute">
    <xdr:from>
      <xdr:col>19</xdr:col>
      <xdr:colOff>490524</xdr:colOff>
      <xdr:row>17</xdr:row>
      <xdr:rowOff>123812</xdr:rowOff>
    </xdr:from>
    <xdr:to>
      <xdr:col>24</xdr:col>
      <xdr:colOff>605830</xdr:colOff>
      <xdr:row>22</xdr:row>
      <xdr:rowOff>71312</xdr:rowOff>
    </xdr:to>
    <xdr:sp macro="" textlink="">
      <xdr:nvSpPr>
        <xdr:cNvPr id="61" name="Bisel 60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xmlns="" id="{00000000-0008-0000-0200-00003D000000}"/>
            </a:ext>
          </a:extLst>
        </xdr:cNvPr>
        <xdr:cNvSpPr>
          <a:spLocks noChangeAspect="1"/>
        </xdr:cNvSpPr>
      </xdr:nvSpPr>
      <xdr:spPr>
        <a:xfrm>
          <a:off x="14187474" y="4562462"/>
          <a:ext cx="3506206" cy="900000"/>
        </a:xfrm>
        <a:prstGeom prst="bevel">
          <a:avLst/>
        </a:prstGeom>
        <a:gradFill flip="none" rotWithShape="1">
          <a:gsLst>
            <a:gs pos="58000">
              <a:schemeClr val="accent3">
                <a:lumMod val="50000"/>
              </a:schemeClr>
            </a:gs>
            <a:gs pos="77000">
              <a:schemeClr val="accent3">
                <a:lumMod val="75000"/>
              </a:schemeClr>
            </a:gs>
            <a:gs pos="95000">
              <a:schemeClr val="accent3">
                <a:lumMod val="60000"/>
                <a:lumOff val="40000"/>
              </a:schemeClr>
            </a:gs>
          </a:gsLst>
          <a:lin ang="16200000" scaled="1"/>
          <a:tileRect/>
        </a:gradFill>
        <a:ln>
          <a:gradFill>
            <a:gsLst>
              <a:gs pos="90000">
                <a:schemeClr val="accent3">
                  <a:lumMod val="50000"/>
                </a:schemeClr>
              </a:gs>
              <a:gs pos="40000">
                <a:schemeClr val="accent3">
                  <a:lumMod val="75000"/>
                </a:schemeClr>
              </a:gs>
              <a:gs pos="20000">
                <a:schemeClr val="accent3">
                  <a:lumMod val="60000"/>
                  <a:lumOff val="40000"/>
                </a:schemeClr>
              </a:gs>
            </a:gsLst>
            <a:lin ang="5400000" scaled="0"/>
          </a:gradFill>
        </a:ln>
        <a:effectLst>
          <a:reflection blurRad="6350" stA="52000" endA="300" endPos="35000" dir="5400000" sy="-100000" algn="bl" rotWithShape="0"/>
        </a:effectLst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i="0" baseline="0"/>
            <a:t>PEAD HA7260</a:t>
          </a:r>
          <a:endParaRPr lang="pt-BR" sz="1050" b="1" i="0"/>
        </a:p>
      </xdr:txBody>
    </xdr:sp>
    <xdr:clientData/>
  </xdr:twoCellAnchor>
  <xdr:twoCellAnchor editAs="absolute">
    <xdr:from>
      <xdr:col>19</xdr:col>
      <xdr:colOff>490515</xdr:colOff>
      <xdr:row>24</xdr:row>
      <xdr:rowOff>38080</xdr:rowOff>
    </xdr:from>
    <xdr:to>
      <xdr:col>24</xdr:col>
      <xdr:colOff>590142</xdr:colOff>
      <xdr:row>28</xdr:row>
      <xdr:rowOff>176080</xdr:rowOff>
    </xdr:to>
    <xdr:sp macro="" textlink="">
      <xdr:nvSpPr>
        <xdr:cNvPr id="62" name="Bisel 61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xmlns="" id="{00000000-0008-0000-0200-00003E000000}"/>
            </a:ext>
          </a:extLst>
        </xdr:cNvPr>
        <xdr:cNvSpPr>
          <a:spLocks noChangeAspect="1"/>
        </xdr:cNvSpPr>
      </xdr:nvSpPr>
      <xdr:spPr>
        <a:xfrm>
          <a:off x="14187465" y="5810230"/>
          <a:ext cx="3490527" cy="900000"/>
        </a:xfrm>
        <a:prstGeom prst="bevel">
          <a:avLst/>
        </a:prstGeom>
        <a:gradFill flip="none" rotWithShape="1">
          <a:gsLst>
            <a:gs pos="58000">
              <a:schemeClr val="accent3">
                <a:lumMod val="50000"/>
              </a:schemeClr>
            </a:gs>
            <a:gs pos="77000">
              <a:schemeClr val="accent3">
                <a:lumMod val="75000"/>
              </a:schemeClr>
            </a:gs>
            <a:gs pos="95000">
              <a:schemeClr val="accent3">
                <a:lumMod val="60000"/>
                <a:lumOff val="40000"/>
              </a:schemeClr>
            </a:gs>
          </a:gsLst>
          <a:lin ang="16200000" scaled="1"/>
          <a:tileRect/>
        </a:gradFill>
        <a:ln>
          <a:gradFill>
            <a:gsLst>
              <a:gs pos="90000">
                <a:schemeClr val="accent3">
                  <a:lumMod val="50000"/>
                </a:schemeClr>
              </a:gs>
              <a:gs pos="40000">
                <a:schemeClr val="accent3">
                  <a:lumMod val="75000"/>
                </a:schemeClr>
              </a:gs>
              <a:gs pos="20000">
                <a:schemeClr val="accent3">
                  <a:lumMod val="60000"/>
                  <a:lumOff val="40000"/>
                </a:schemeClr>
              </a:gs>
            </a:gsLst>
            <a:lin ang="5400000" scaled="0"/>
          </a:gradFill>
        </a:ln>
        <a:effectLst>
          <a:reflection blurRad="6350" stA="52000" endA="300" endPos="35000" dir="5400000" sy="-100000" algn="bl" rotWithShape="0"/>
        </a:effectLst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i="0" baseline="0"/>
            <a:t>PEAD HS5502</a:t>
          </a:r>
          <a:endParaRPr lang="pt-BR" sz="1050" b="1" i="0"/>
        </a:p>
      </xdr:txBody>
    </xdr:sp>
    <xdr:clientData/>
  </xdr:twoCellAnchor>
  <xdr:twoCellAnchor editAs="absolute">
    <xdr:from>
      <xdr:col>19</xdr:col>
      <xdr:colOff>485759</xdr:colOff>
      <xdr:row>30</xdr:row>
      <xdr:rowOff>166667</xdr:rowOff>
    </xdr:from>
    <xdr:to>
      <xdr:col>25</xdr:col>
      <xdr:colOff>990</xdr:colOff>
      <xdr:row>35</xdr:row>
      <xdr:rowOff>114167</xdr:rowOff>
    </xdr:to>
    <xdr:sp macro="" textlink="">
      <xdr:nvSpPr>
        <xdr:cNvPr id="66" name="Bisel 65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xmlns="" id="{00000000-0008-0000-0200-000042000000}"/>
            </a:ext>
          </a:extLst>
        </xdr:cNvPr>
        <xdr:cNvSpPr>
          <a:spLocks noChangeAspect="1"/>
        </xdr:cNvSpPr>
      </xdr:nvSpPr>
      <xdr:spPr>
        <a:xfrm>
          <a:off x="14182709" y="7081817"/>
          <a:ext cx="3515731" cy="900000"/>
        </a:xfrm>
        <a:prstGeom prst="bevel">
          <a:avLst/>
        </a:prstGeom>
        <a:gradFill flip="none" rotWithShape="1">
          <a:gsLst>
            <a:gs pos="58000">
              <a:schemeClr val="accent3">
                <a:lumMod val="50000"/>
              </a:schemeClr>
            </a:gs>
            <a:gs pos="77000">
              <a:schemeClr val="accent3">
                <a:lumMod val="75000"/>
              </a:schemeClr>
            </a:gs>
            <a:gs pos="95000">
              <a:schemeClr val="accent3">
                <a:lumMod val="60000"/>
                <a:lumOff val="40000"/>
              </a:schemeClr>
            </a:gs>
          </a:gsLst>
          <a:lin ang="16200000" scaled="1"/>
          <a:tileRect/>
        </a:gradFill>
        <a:ln>
          <a:gradFill>
            <a:gsLst>
              <a:gs pos="90000">
                <a:schemeClr val="accent3">
                  <a:lumMod val="50000"/>
                </a:schemeClr>
              </a:gs>
              <a:gs pos="40000">
                <a:schemeClr val="accent3">
                  <a:lumMod val="75000"/>
                </a:schemeClr>
              </a:gs>
              <a:gs pos="20000">
                <a:schemeClr val="accent3">
                  <a:lumMod val="60000"/>
                  <a:lumOff val="40000"/>
                </a:schemeClr>
              </a:gs>
            </a:gsLst>
            <a:lin ang="5400000" scaled="0"/>
          </a:gradFill>
        </a:ln>
        <a:effectLst>
          <a:reflection blurRad="6350" stA="52000" endA="300" endPos="35000" dir="5400000" sy="-100000" algn="bl" rotWithShape="0"/>
        </a:effectLst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i="0" baseline="0"/>
            <a:t>PEAD GE7252NS</a:t>
          </a:r>
        </a:p>
      </xdr:txBody>
    </xdr:sp>
    <xdr:clientData/>
  </xdr:twoCellAnchor>
  <xdr:twoCellAnchor editAs="absolute">
    <xdr:from>
      <xdr:col>19</xdr:col>
      <xdr:colOff>461947</xdr:colOff>
      <xdr:row>37</xdr:row>
      <xdr:rowOff>99986</xdr:rowOff>
    </xdr:from>
    <xdr:to>
      <xdr:col>24</xdr:col>
      <xdr:colOff>599180</xdr:colOff>
      <xdr:row>42</xdr:row>
      <xdr:rowOff>47486</xdr:rowOff>
    </xdr:to>
    <xdr:sp macro="" textlink="">
      <xdr:nvSpPr>
        <xdr:cNvPr id="67" name="Bisel 66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xmlns="" id="{00000000-0008-0000-0200-000043000000}"/>
            </a:ext>
          </a:extLst>
        </xdr:cNvPr>
        <xdr:cNvSpPr>
          <a:spLocks noChangeAspect="1"/>
        </xdr:cNvSpPr>
      </xdr:nvSpPr>
      <xdr:spPr>
        <a:xfrm>
          <a:off x="14158897" y="8348636"/>
          <a:ext cx="3528133" cy="900000"/>
        </a:xfrm>
        <a:prstGeom prst="bevel">
          <a:avLst/>
        </a:prstGeom>
        <a:gradFill flip="none" rotWithShape="1">
          <a:gsLst>
            <a:gs pos="58000">
              <a:schemeClr val="accent3">
                <a:lumMod val="50000"/>
              </a:schemeClr>
            </a:gs>
            <a:gs pos="77000">
              <a:schemeClr val="accent3">
                <a:lumMod val="75000"/>
              </a:schemeClr>
            </a:gs>
            <a:gs pos="95000">
              <a:schemeClr val="accent3">
                <a:lumMod val="60000"/>
                <a:lumOff val="40000"/>
              </a:schemeClr>
            </a:gs>
          </a:gsLst>
          <a:lin ang="16200000" scaled="1"/>
          <a:tileRect/>
        </a:gradFill>
        <a:ln>
          <a:gradFill>
            <a:gsLst>
              <a:gs pos="90000">
                <a:schemeClr val="accent3">
                  <a:lumMod val="50000"/>
                </a:schemeClr>
              </a:gs>
              <a:gs pos="40000">
                <a:schemeClr val="accent3">
                  <a:lumMod val="75000"/>
                </a:schemeClr>
              </a:gs>
              <a:gs pos="20000">
                <a:schemeClr val="accent3">
                  <a:lumMod val="60000"/>
                  <a:lumOff val="40000"/>
                </a:schemeClr>
              </a:gs>
            </a:gsLst>
            <a:lin ang="5400000" scaled="0"/>
          </a:gradFill>
        </a:ln>
        <a:effectLst>
          <a:reflection blurRad="6350" stA="52000" endA="300" endPos="35000" dir="5400000" sy="-100000" algn="bl" rotWithShape="0"/>
        </a:effectLst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i="0" baseline="0"/>
            <a:t>PEAD HC7260LSL</a:t>
          </a:r>
          <a:endParaRPr lang="pt-BR" sz="1050" b="1" i="0"/>
        </a:p>
      </xdr:txBody>
    </xdr:sp>
    <xdr:clientData/>
  </xdr:twoCellAnchor>
  <xdr:twoCellAnchor editAs="absolute">
    <xdr:from>
      <xdr:col>19</xdr:col>
      <xdr:colOff>480996</xdr:colOff>
      <xdr:row>43</xdr:row>
      <xdr:rowOff>185707</xdr:rowOff>
    </xdr:from>
    <xdr:to>
      <xdr:col>24</xdr:col>
      <xdr:colOff>583899</xdr:colOff>
      <xdr:row>48</xdr:row>
      <xdr:rowOff>133207</xdr:rowOff>
    </xdr:to>
    <xdr:sp macro="" textlink="">
      <xdr:nvSpPr>
        <xdr:cNvPr id="68" name="Bisel 67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xmlns="" id="{00000000-0008-0000-0200-000044000000}"/>
            </a:ext>
          </a:extLst>
        </xdr:cNvPr>
        <xdr:cNvSpPr>
          <a:spLocks noChangeAspect="1"/>
        </xdr:cNvSpPr>
      </xdr:nvSpPr>
      <xdr:spPr>
        <a:xfrm>
          <a:off x="14177946" y="9577357"/>
          <a:ext cx="3493803" cy="900000"/>
        </a:xfrm>
        <a:prstGeom prst="bevel">
          <a:avLst/>
        </a:prstGeom>
        <a:gradFill flip="none" rotWithShape="1">
          <a:gsLst>
            <a:gs pos="58000">
              <a:schemeClr val="accent3">
                <a:lumMod val="50000"/>
              </a:schemeClr>
            </a:gs>
            <a:gs pos="77000">
              <a:schemeClr val="accent3">
                <a:lumMod val="75000"/>
              </a:schemeClr>
            </a:gs>
            <a:gs pos="95000">
              <a:schemeClr val="accent3">
                <a:lumMod val="60000"/>
                <a:lumOff val="40000"/>
              </a:schemeClr>
            </a:gs>
          </a:gsLst>
          <a:lin ang="16200000" scaled="1"/>
          <a:tileRect/>
        </a:gradFill>
        <a:ln>
          <a:gradFill>
            <a:gsLst>
              <a:gs pos="90000">
                <a:schemeClr val="accent3">
                  <a:lumMod val="50000"/>
                </a:schemeClr>
              </a:gs>
              <a:gs pos="40000">
                <a:schemeClr val="accent3">
                  <a:lumMod val="75000"/>
                </a:schemeClr>
              </a:gs>
              <a:gs pos="20000">
                <a:schemeClr val="accent3">
                  <a:lumMod val="60000"/>
                  <a:lumOff val="40000"/>
                </a:schemeClr>
              </a:gs>
            </a:gsLst>
            <a:lin ang="5400000" scaled="0"/>
          </a:gradFill>
        </a:ln>
        <a:effectLst>
          <a:reflection blurRad="6350" stA="52000" endA="300" endPos="35000" dir="5400000" sy="-100000" algn="bl" rotWithShape="0"/>
        </a:effectLst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i="0" baseline="0"/>
            <a:t>PEAD IB58</a:t>
          </a:r>
          <a:endParaRPr lang="pt-BR" sz="1050" b="1" i="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16118</xdr:colOff>
      <xdr:row>0</xdr:row>
      <xdr:rowOff>3718</xdr:rowOff>
    </xdr:from>
    <xdr:to>
      <xdr:col>1</xdr:col>
      <xdr:colOff>2388577</xdr:colOff>
      <xdr:row>0</xdr:row>
      <xdr:rowOff>1108917</xdr:rowOff>
    </xdr:to>
    <xdr:sp macro="" textlink="">
      <xdr:nvSpPr>
        <xdr:cNvPr id="31" name="Retângulo 30">
          <a:extLst>
            <a:ext uri="{FF2B5EF4-FFF2-40B4-BE49-F238E27FC236}">
              <a16:creationId xmlns:a16="http://schemas.microsoft.com/office/drawing/2014/main" xmlns="" id="{00000000-0008-0000-0300-00001F000000}"/>
            </a:ext>
          </a:extLst>
        </xdr:cNvPr>
        <xdr:cNvSpPr/>
      </xdr:nvSpPr>
      <xdr:spPr>
        <a:xfrm>
          <a:off x="16118" y="3718"/>
          <a:ext cx="2982059" cy="1105199"/>
        </a:xfrm>
        <a:prstGeom prst="rect">
          <a:avLst/>
        </a:prstGeom>
        <a:gradFill flip="none" rotWithShape="1">
          <a:gsLst>
            <a:gs pos="83000">
              <a:schemeClr val="tx2">
                <a:lumMod val="75000"/>
              </a:schemeClr>
            </a:gs>
            <a:gs pos="37000">
              <a:srgbClr val="0F0D24">
                <a:lumMod val="90000"/>
              </a:srgbClr>
            </a:gs>
          </a:gsLst>
          <a:path path="circle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155502</xdr:colOff>
      <xdr:row>0</xdr:row>
      <xdr:rowOff>260850</xdr:rowOff>
    </xdr:from>
    <xdr:to>
      <xdr:col>1</xdr:col>
      <xdr:colOff>2176543</xdr:colOff>
      <xdr:row>0</xdr:row>
      <xdr:rowOff>855342</xdr:rowOff>
    </xdr:to>
    <xdr:pic>
      <xdr:nvPicPr>
        <xdr:cNvPr id="32" name="Picture 2">
          <a:extLst>
            <a:ext uri="{FF2B5EF4-FFF2-40B4-BE49-F238E27FC236}">
              <a16:creationId xmlns:a16="http://schemas.microsoft.com/office/drawing/2014/main" xmlns="" id="{00000000-0008-0000-0300-00002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grayscl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5971" b="71845" l="2865" r="99727"/>
                  </a14:imgEffect>
                  <a14:imgEffect>
                    <a14:brightnessContrast contrast="40000"/>
                  </a14:imgEffect>
                </a14:imgLayer>
              </a14:imgProps>
            </a:ext>
          </a:extLst>
        </a:blip>
        <a:srcRect l="2604" t="25135" r="1215" b="36293"/>
        <a:stretch/>
      </xdr:blipFill>
      <xdr:spPr bwMode="auto">
        <a:xfrm>
          <a:off x="155502" y="260850"/>
          <a:ext cx="2630641" cy="59449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0</xdr:col>
      <xdr:colOff>232233</xdr:colOff>
      <xdr:row>6</xdr:row>
      <xdr:rowOff>130734</xdr:rowOff>
    </xdr:from>
    <xdr:to>
      <xdr:col>2</xdr:col>
      <xdr:colOff>112056</xdr:colOff>
      <xdr:row>10</xdr:row>
      <xdr:rowOff>143936</xdr:rowOff>
    </xdr:to>
    <xdr:grpSp>
      <xdr:nvGrpSpPr>
        <xdr:cNvPr id="33" name="Grupo 3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300-000021000000}"/>
            </a:ext>
          </a:extLst>
        </xdr:cNvPr>
        <xdr:cNvGrpSpPr>
          <a:grpSpLocks noChangeAspect="1"/>
        </xdr:cNvGrpSpPr>
      </xdr:nvGrpSpPr>
      <xdr:grpSpPr>
        <a:xfrm>
          <a:off x="232233" y="2468689"/>
          <a:ext cx="2893187" cy="775202"/>
          <a:chOff x="198049" y="2463157"/>
          <a:chExt cx="2987590" cy="777688"/>
        </a:xfrm>
      </xdr:grpSpPr>
      <xdr:pic>
        <xdr:nvPicPr>
          <xdr:cNvPr id="34" name="Imagem 33">
            <a:extLst>
              <a:ext uri="{FF2B5EF4-FFF2-40B4-BE49-F238E27FC236}">
                <a16:creationId xmlns:a16="http://schemas.microsoft.com/office/drawing/2014/main" xmlns="" id="{00000000-0008-0000-0300-00002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rightnessContrast bright="-3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8049" y="2540688"/>
            <a:ext cx="607471" cy="596348"/>
          </a:xfrm>
          <a:prstGeom prst="rect">
            <a:avLst/>
          </a:prstGeom>
        </xdr:spPr>
      </xdr:pic>
      <xdr:sp macro="" textlink="">
        <xdr:nvSpPr>
          <xdr:cNvPr id="35" name="CaixaDeTexto 34">
            <a:extLst>
              <a:ext uri="{FF2B5EF4-FFF2-40B4-BE49-F238E27FC236}">
                <a16:creationId xmlns:a16="http://schemas.microsoft.com/office/drawing/2014/main" xmlns="" id="{00000000-0008-0000-0300-000023000000}"/>
              </a:ext>
            </a:extLst>
          </xdr:cNvPr>
          <xdr:cNvSpPr txBox="1"/>
        </xdr:nvSpPr>
        <xdr:spPr>
          <a:xfrm>
            <a:off x="715513" y="2463157"/>
            <a:ext cx="2470126" cy="77768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chemeClr val="bg1">
                    <a:lumMod val="85000"/>
                  </a:schemeClr>
                </a:solidFill>
                <a:effectLst/>
                <a:latin typeface="Century Gothic" pitchFamily="34" charset="0"/>
                <a:ea typeface="+mn-ea"/>
                <a:cs typeface="+mn-cs"/>
              </a:rPr>
              <a:t>Acompanhamento</a:t>
            </a:r>
            <a:r>
              <a:rPr lang="pt-BR" sz="1800" b="1" baseline="0">
                <a:solidFill>
                  <a:schemeClr val="bg1">
                    <a:lumMod val="85000"/>
                  </a:schemeClr>
                </a:solidFill>
                <a:effectLst/>
                <a:latin typeface="Century Gothic" pitchFamily="34" charset="0"/>
                <a:ea typeface="+mn-ea"/>
                <a:cs typeface="+mn-cs"/>
              </a:rPr>
              <a:t> </a:t>
            </a:r>
            <a:r>
              <a:rPr lang="pt-BR" sz="1800" b="1">
                <a:solidFill>
                  <a:schemeClr val="bg1">
                    <a:lumMod val="85000"/>
                  </a:schemeClr>
                </a:solidFill>
                <a:effectLst/>
                <a:latin typeface="Century Gothic" pitchFamily="34" charset="0"/>
                <a:ea typeface="+mn-ea"/>
                <a:cs typeface="+mn-cs"/>
              </a:rPr>
              <a:t>de Inspeção</a:t>
            </a:r>
          </a:p>
        </xdr:txBody>
      </xdr:sp>
    </xdr:grpSp>
    <xdr:clientData/>
  </xdr:twoCellAnchor>
  <xdr:twoCellAnchor editAs="absolute">
    <xdr:from>
      <xdr:col>0</xdr:col>
      <xdr:colOff>253590</xdr:colOff>
      <xdr:row>12</xdr:row>
      <xdr:rowOff>14029</xdr:rowOff>
    </xdr:from>
    <xdr:to>
      <xdr:col>2</xdr:col>
      <xdr:colOff>4906</xdr:colOff>
      <xdr:row>15</xdr:row>
      <xdr:rowOff>133703</xdr:rowOff>
    </xdr:to>
    <xdr:grpSp>
      <xdr:nvGrpSpPr>
        <xdr:cNvPr id="36" name="Grupo 3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00000000-0008-0000-0300-000024000000}"/>
            </a:ext>
          </a:extLst>
        </xdr:cNvPr>
        <xdr:cNvGrpSpPr>
          <a:grpSpLocks noChangeAspect="1"/>
        </xdr:cNvGrpSpPr>
      </xdr:nvGrpSpPr>
      <xdr:grpSpPr>
        <a:xfrm>
          <a:off x="253590" y="3494984"/>
          <a:ext cx="2764680" cy="691174"/>
          <a:chOff x="197619" y="3602710"/>
          <a:chExt cx="2779667" cy="694910"/>
        </a:xfrm>
      </xdr:grpSpPr>
      <xdr:pic>
        <xdr:nvPicPr>
          <xdr:cNvPr id="37" name="Imagem 36">
            <a:extLst>
              <a:ext uri="{FF2B5EF4-FFF2-40B4-BE49-F238E27FC236}">
                <a16:creationId xmlns:a16="http://schemas.microsoft.com/office/drawing/2014/main" xmlns="" id="{00000000-0008-0000-0300-00002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lum bright="70000" contrast="-70000"/>
            <a:extLst>
              <a:ext uri="{BEBA8EAE-BF5A-486C-A8C5-ECC9F3942E4B}">
                <a14:imgProps xmlns:a14="http://schemas.microsoft.com/office/drawing/2010/main">
                  <a14:imgLayer r:embed="rId8">
                    <a14:imgEffect>
                      <a14:brightnessContrast bright="40000" contrast="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7619" y="3658842"/>
            <a:ext cx="605318" cy="580628"/>
          </a:xfrm>
          <a:prstGeom prst="rect">
            <a:avLst/>
          </a:prstGeom>
        </xdr:spPr>
      </xdr:pic>
      <xdr:sp macro="" textlink="">
        <xdr:nvSpPr>
          <xdr:cNvPr id="38" name="CaixaDeTexto 37">
            <a:extLst>
              <a:ext uri="{FF2B5EF4-FFF2-40B4-BE49-F238E27FC236}">
                <a16:creationId xmlns:a16="http://schemas.microsoft.com/office/drawing/2014/main" xmlns="" id="{00000000-0008-0000-0300-000026000000}"/>
              </a:ext>
            </a:extLst>
          </xdr:cNvPr>
          <xdr:cNvSpPr txBox="1"/>
        </xdr:nvSpPr>
        <xdr:spPr>
          <a:xfrm>
            <a:off x="724462" y="3602710"/>
            <a:ext cx="2252824" cy="6949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chemeClr val="bg1">
                    <a:lumMod val="85000"/>
                  </a:schemeClr>
                </a:solidFill>
                <a:latin typeface="Century Gothic" pitchFamily="34" charset="0"/>
              </a:rPr>
              <a:t>Check-list</a:t>
            </a:r>
          </a:p>
          <a:p>
            <a:pPr algn="ctr"/>
            <a:r>
              <a:rPr lang="pt-BR" sz="1800" b="1">
                <a:solidFill>
                  <a:schemeClr val="bg1">
                    <a:lumMod val="85000"/>
                  </a:schemeClr>
                </a:solidFill>
                <a:latin typeface="Century Gothic" pitchFamily="34" charset="0"/>
              </a:rPr>
              <a:t>Entrada de Molde</a:t>
            </a:r>
          </a:p>
        </xdr:txBody>
      </xdr:sp>
    </xdr:grpSp>
    <xdr:clientData/>
  </xdr:twoCellAnchor>
  <xdr:twoCellAnchor editAs="absolute">
    <xdr:from>
      <xdr:col>0</xdr:col>
      <xdr:colOff>256770</xdr:colOff>
      <xdr:row>17</xdr:row>
      <xdr:rowOff>73275</xdr:rowOff>
    </xdr:from>
    <xdr:to>
      <xdr:col>1</xdr:col>
      <xdr:colOff>2259996</xdr:colOff>
      <xdr:row>21</xdr:row>
      <xdr:rowOff>51295</xdr:rowOff>
    </xdr:to>
    <xdr:grpSp>
      <xdr:nvGrpSpPr>
        <xdr:cNvPr id="39" name="Grupo 3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xmlns="" id="{00000000-0008-0000-0300-000027000000}"/>
            </a:ext>
          </a:extLst>
        </xdr:cNvPr>
        <xdr:cNvGrpSpPr>
          <a:grpSpLocks noChangeAspect="1"/>
        </xdr:cNvGrpSpPr>
      </xdr:nvGrpSpPr>
      <xdr:grpSpPr>
        <a:xfrm>
          <a:off x="256770" y="4506730"/>
          <a:ext cx="2609362" cy="740020"/>
          <a:chOff x="200818" y="4692895"/>
          <a:chExt cx="2622199" cy="740020"/>
        </a:xfrm>
      </xdr:grpSpPr>
      <xdr:pic>
        <xdr:nvPicPr>
          <xdr:cNvPr id="40" name="Imagem 39">
            <a:extLst>
              <a:ext uri="{FF2B5EF4-FFF2-40B4-BE49-F238E27FC236}">
                <a16:creationId xmlns:a16="http://schemas.microsoft.com/office/drawing/2014/main" xmlns="" id="{00000000-0008-0000-0300-00002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lum bright="70000" contrast="-7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0818" y="4801754"/>
            <a:ext cx="540924" cy="550563"/>
          </a:xfrm>
          <a:prstGeom prst="rect">
            <a:avLst/>
          </a:prstGeom>
        </xdr:spPr>
      </xdr:pic>
      <xdr:sp macro="" textlink="">
        <xdr:nvSpPr>
          <xdr:cNvPr id="41" name="CaixaDeTexto 40">
            <a:extLst>
              <a:ext uri="{FF2B5EF4-FFF2-40B4-BE49-F238E27FC236}">
                <a16:creationId xmlns:a16="http://schemas.microsoft.com/office/drawing/2014/main" xmlns="" id="{00000000-0008-0000-0300-000029000000}"/>
              </a:ext>
            </a:extLst>
          </xdr:cNvPr>
          <xdr:cNvSpPr txBox="1"/>
        </xdr:nvSpPr>
        <xdr:spPr>
          <a:xfrm>
            <a:off x="748470" y="4692895"/>
            <a:ext cx="2074547" cy="7400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800" b="1">
                <a:solidFill>
                  <a:schemeClr val="bg1">
                    <a:lumMod val="85000"/>
                  </a:schemeClr>
                </a:solidFill>
                <a:effectLst/>
                <a:latin typeface="Century Gothic" pitchFamily="34" charset="0"/>
                <a:ea typeface="+mn-ea"/>
                <a:cs typeface="+mn-cs"/>
              </a:rPr>
              <a:t>Medidas Funcionais</a:t>
            </a:r>
            <a:endParaRPr lang="pt-BR" sz="1800" b="1">
              <a:solidFill>
                <a:schemeClr val="bg1">
                  <a:lumMod val="85000"/>
                </a:schemeClr>
              </a:solidFill>
              <a:effectLst/>
              <a:latin typeface="Century Gothic" pitchFamily="34" charset="0"/>
            </a:endParaRPr>
          </a:p>
        </xdr:txBody>
      </xdr:sp>
    </xdr:grpSp>
    <xdr:clientData/>
  </xdr:twoCellAnchor>
  <xdr:twoCellAnchor editAs="absolute">
    <xdr:from>
      <xdr:col>0</xdr:col>
      <xdr:colOff>242571</xdr:colOff>
      <xdr:row>22</xdr:row>
      <xdr:rowOff>124749</xdr:rowOff>
    </xdr:from>
    <xdr:to>
      <xdr:col>1</xdr:col>
      <xdr:colOff>2154117</xdr:colOff>
      <xdr:row>26</xdr:row>
      <xdr:rowOff>115371</xdr:rowOff>
    </xdr:to>
    <xdr:grpSp>
      <xdr:nvGrpSpPr>
        <xdr:cNvPr id="42" name="Grupo 4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xmlns="" id="{00000000-0008-0000-0300-00002A000000}"/>
            </a:ext>
          </a:extLst>
        </xdr:cNvPr>
        <xdr:cNvGrpSpPr>
          <a:grpSpLocks noChangeAspect="1"/>
        </xdr:cNvGrpSpPr>
      </xdr:nvGrpSpPr>
      <xdr:grpSpPr>
        <a:xfrm>
          <a:off x="242571" y="5510704"/>
          <a:ext cx="2517682" cy="752622"/>
          <a:chOff x="149211" y="5851147"/>
          <a:chExt cx="2530551" cy="752621"/>
        </a:xfrm>
      </xdr:grpSpPr>
      <xdr:pic>
        <xdr:nvPicPr>
          <xdr:cNvPr id="43" name="Imagem 42">
            <a:extLst>
              <a:ext uri="{FF2B5EF4-FFF2-40B4-BE49-F238E27FC236}">
                <a16:creationId xmlns:a16="http://schemas.microsoft.com/office/drawing/2014/main" xmlns="" id="{00000000-0008-0000-0300-00002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BEBA8EAE-BF5A-486C-A8C5-ECC9F3942E4B}">
                <a14:imgProps xmlns:a14="http://schemas.microsoft.com/office/drawing/2010/main">
                  <a14:imgLayer r:embed="rId13">
                    <a14:imgEffect>
                      <a14:colorTemperature colorTemp="5500"/>
                    </a14:imgEffect>
                    <a14:imgEffect>
                      <a14:brightnessContrast bright="100000" contrast="10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9211" y="5982430"/>
            <a:ext cx="601813" cy="569929"/>
          </a:xfrm>
          <a:prstGeom prst="rect">
            <a:avLst/>
          </a:prstGeom>
          <a:scene3d>
            <a:camera prst="orthographicFront"/>
            <a:lightRig rig="threePt" dir="t"/>
          </a:scene3d>
          <a:sp3d prstMaterial="matte"/>
        </xdr:spPr>
      </xdr:pic>
      <xdr:sp macro="" textlink="">
        <xdr:nvSpPr>
          <xdr:cNvPr id="44" name="CaixaDeTexto 43">
            <a:extLst>
              <a:ext uri="{FF2B5EF4-FFF2-40B4-BE49-F238E27FC236}">
                <a16:creationId xmlns:a16="http://schemas.microsoft.com/office/drawing/2014/main" xmlns="" id="{00000000-0008-0000-0300-00002C000000}"/>
              </a:ext>
            </a:extLst>
          </xdr:cNvPr>
          <xdr:cNvSpPr txBox="1"/>
        </xdr:nvSpPr>
        <xdr:spPr>
          <a:xfrm>
            <a:off x="721650" y="5851147"/>
            <a:ext cx="1958112" cy="7526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chemeClr val="bg1">
                    <a:lumMod val="85000"/>
                  </a:schemeClr>
                </a:solidFill>
                <a:latin typeface="Century Gothic" pitchFamily="34" charset="0"/>
              </a:rPr>
              <a:t>Desenhos Técnicos</a:t>
            </a:r>
          </a:p>
        </xdr:txBody>
      </xdr:sp>
    </xdr:grpSp>
    <xdr:clientData/>
  </xdr:twoCellAnchor>
  <xdr:twoCellAnchor editAs="absolute">
    <xdr:from>
      <xdr:col>0</xdr:col>
      <xdr:colOff>274608</xdr:colOff>
      <xdr:row>33</xdr:row>
      <xdr:rowOff>143011</xdr:rowOff>
    </xdr:from>
    <xdr:to>
      <xdr:col>1</xdr:col>
      <xdr:colOff>2220314</xdr:colOff>
      <xdr:row>34</xdr:row>
      <xdr:rowOff>278470</xdr:rowOff>
    </xdr:to>
    <xdr:grpSp>
      <xdr:nvGrpSpPr>
        <xdr:cNvPr id="45" name="Grupo 4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xmlns="" id="{00000000-0008-0000-0300-00002D000000}"/>
            </a:ext>
          </a:extLst>
        </xdr:cNvPr>
        <xdr:cNvGrpSpPr>
          <a:grpSpLocks noChangeAspect="1"/>
        </xdr:cNvGrpSpPr>
      </xdr:nvGrpSpPr>
      <xdr:grpSpPr>
        <a:xfrm>
          <a:off x="274608" y="7624466"/>
          <a:ext cx="2551842" cy="568413"/>
          <a:chOff x="256163" y="7145765"/>
          <a:chExt cx="2566606" cy="568414"/>
        </a:xfrm>
      </xdr:grpSpPr>
      <xdr:pic>
        <xdr:nvPicPr>
          <xdr:cNvPr id="46" name="Imagem 45">
            <a:extLst>
              <a:ext uri="{FF2B5EF4-FFF2-40B4-BE49-F238E27FC236}">
                <a16:creationId xmlns:a16="http://schemas.microsoft.com/office/drawing/2014/main" xmlns="" id="{00000000-0008-0000-0300-00002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lum bright="70000" contrast="-70000"/>
            <a:extLst>
              <a:ext uri="{BEBA8EAE-BF5A-486C-A8C5-ECC9F3942E4B}">
                <a14:imgProps xmlns:a14="http://schemas.microsoft.com/office/drawing/2010/main">
                  <a14:imgLayer r:embed="rId16">
                    <a14:imgEffect>
                      <a14:brightnessContrast bright="40000" contrast="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6163" y="7145765"/>
            <a:ext cx="576752" cy="568414"/>
          </a:xfrm>
          <a:prstGeom prst="rect">
            <a:avLst/>
          </a:prstGeom>
        </xdr:spPr>
      </xdr:pic>
      <xdr:sp macro="" textlink="">
        <xdr:nvSpPr>
          <xdr:cNvPr id="47" name="CaixaDeTexto 46">
            <a:extLst>
              <a:ext uri="{FF2B5EF4-FFF2-40B4-BE49-F238E27FC236}">
                <a16:creationId xmlns:a16="http://schemas.microsoft.com/office/drawing/2014/main" xmlns="" id="{00000000-0008-0000-0300-00002F000000}"/>
              </a:ext>
            </a:extLst>
          </xdr:cNvPr>
          <xdr:cNvSpPr txBox="1"/>
        </xdr:nvSpPr>
        <xdr:spPr>
          <a:xfrm>
            <a:off x="698236" y="7290687"/>
            <a:ext cx="2124533" cy="23526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chemeClr val="bg1">
                    <a:lumMod val="85000"/>
                  </a:schemeClr>
                </a:solidFill>
                <a:latin typeface="Century Gothic" pitchFamily="34" charset="0"/>
              </a:rPr>
              <a:t>Estudos</a:t>
            </a:r>
          </a:p>
        </xdr:txBody>
      </xdr:sp>
    </xdr:grpSp>
    <xdr:clientData/>
  </xdr:twoCellAnchor>
  <xdr:twoCellAnchor editAs="absolute">
    <xdr:from>
      <xdr:col>0</xdr:col>
      <xdr:colOff>0</xdr:colOff>
      <xdr:row>34</xdr:row>
      <xdr:rowOff>384168</xdr:rowOff>
    </xdr:from>
    <xdr:to>
      <xdr:col>2</xdr:col>
      <xdr:colOff>22412</xdr:colOff>
      <xdr:row>37</xdr:row>
      <xdr:rowOff>331269</xdr:rowOff>
    </xdr:to>
    <xdr:sp macro="" textlink="">
      <xdr:nvSpPr>
        <xdr:cNvPr id="49" name="Retângulo 48">
          <a:extLst>
            <a:ext uri="{FF2B5EF4-FFF2-40B4-BE49-F238E27FC236}">
              <a16:creationId xmlns:a16="http://schemas.microsoft.com/office/drawing/2014/main" xmlns="" id="{00000000-0008-0000-0300-000031000000}"/>
            </a:ext>
          </a:extLst>
        </xdr:cNvPr>
        <xdr:cNvSpPr/>
      </xdr:nvSpPr>
      <xdr:spPr>
        <a:xfrm>
          <a:off x="0" y="8294247"/>
          <a:ext cx="3046600" cy="1115831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246903</xdr:colOff>
      <xdr:row>2</xdr:row>
      <xdr:rowOff>88010</xdr:rowOff>
    </xdr:from>
    <xdr:to>
      <xdr:col>1</xdr:col>
      <xdr:colOff>2262090</xdr:colOff>
      <xdr:row>4</xdr:row>
      <xdr:rowOff>140968</xdr:rowOff>
    </xdr:to>
    <xdr:grpSp>
      <xdr:nvGrpSpPr>
        <xdr:cNvPr id="97" name="Grupo 9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xmlns="" id="{00000000-0008-0000-0300-000061000000}"/>
            </a:ext>
          </a:extLst>
        </xdr:cNvPr>
        <xdr:cNvGrpSpPr>
          <a:grpSpLocks noChangeAspect="1"/>
        </xdr:cNvGrpSpPr>
      </xdr:nvGrpSpPr>
      <xdr:grpSpPr>
        <a:xfrm>
          <a:off x="246903" y="1404192"/>
          <a:ext cx="2621323" cy="693731"/>
          <a:chOff x="246903" y="1397698"/>
          <a:chExt cx="2634312" cy="695895"/>
        </a:xfrm>
      </xdr:grpSpPr>
      <xdr:sp macro="" textlink="">
        <xdr:nvSpPr>
          <xdr:cNvPr id="50" name="CaixaDeTexto 49">
            <a:extLst>
              <a:ext uri="{FF2B5EF4-FFF2-40B4-BE49-F238E27FC236}">
                <a16:creationId xmlns:a16="http://schemas.microsoft.com/office/drawing/2014/main" xmlns="" id="{00000000-0008-0000-0300-000032000000}"/>
              </a:ext>
            </a:extLst>
          </xdr:cNvPr>
          <xdr:cNvSpPr txBox="1"/>
        </xdr:nvSpPr>
        <xdr:spPr>
          <a:xfrm>
            <a:off x="656798" y="1478117"/>
            <a:ext cx="2224417" cy="6154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chemeClr val="bg1">
                    <a:lumMod val="95000"/>
                  </a:schemeClr>
                </a:solidFill>
                <a:latin typeface="Century Gothic" pitchFamily="34" charset="0"/>
              </a:rPr>
              <a:t>HOME</a:t>
            </a:r>
          </a:p>
        </xdr:txBody>
      </xdr:sp>
      <xdr:pic>
        <xdr:nvPicPr>
          <xdr:cNvPr id="51" name="Imagem 50">
            <a:extLst>
              <a:ext uri="{FF2B5EF4-FFF2-40B4-BE49-F238E27FC236}">
                <a16:creationId xmlns:a16="http://schemas.microsoft.com/office/drawing/2014/main" xmlns="" id="{00000000-0008-0000-0300-00003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lum bright="70000" contrast="-7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6903" y="1397698"/>
            <a:ext cx="647360" cy="654059"/>
          </a:xfrm>
          <a:prstGeom prst="rect">
            <a:avLst/>
          </a:prstGeom>
          <a:noFill/>
        </xdr:spPr>
      </xdr:pic>
    </xdr:grpSp>
    <xdr:clientData/>
  </xdr:twoCellAnchor>
  <xdr:twoCellAnchor editAs="absolute">
    <xdr:from>
      <xdr:col>0</xdr:col>
      <xdr:colOff>194153</xdr:colOff>
      <xdr:row>45</xdr:row>
      <xdr:rowOff>36856</xdr:rowOff>
    </xdr:from>
    <xdr:to>
      <xdr:col>1</xdr:col>
      <xdr:colOff>2186627</xdr:colOff>
      <xdr:row>46</xdr:row>
      <xdr:rowOff>349811</xdr:rowOff>
    </xdr:to>
    <xdr:grpSp>
      <xdr:nvGrpSpPr>
        <xdr:cNvPr id="52" name="Grupo 51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xmlns="" id="{00000000-0008-0000-0300-000034000000}"/>
            </a:ext>
          </a:extLst>
        </xdr:cNvPr>
        <xdr:cNvGrpSpPr>
          <a:grpSpLocks noChangeAspect="1"/>
        </xdr:cNvGrpSpPr>
      </xdr:nvGrpSpPr>
      <xdr:grpSpPr>
        <a:xfrm>
          <a:off x="194153" y="12471311"/>
          <a:ext cx="2598610" cy="693955"/>
          <a:chOff x="196023" y="10608237"/>
          <a:chExt cx="2608798" cy="672360"/>
        </a:xfrm>
      </xdr:grpSpPr>
      <xdr:pic>
        <xdr:nvPicPr>
          <xdr:cNvPr id="53" name="Imagem 52">
            <a:extLst>
              <a:ext uri="{FF2B5EF4-FFF2-40B4-BE49-F238E27FC236}">
                <a16:creationId xmlns:a16="http://schemas.microsoft.com/office/drawing/2014/main" xmlns="" id="{00000000-0008-0000-0300-00003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BEBA8EAE-BF5A-486C-A8C5-ECC9F3942E4B}">
                <a14:imgProps xmlns:a14="http://schemas.microsoft.com/office/drawing/2010/main">
                  <a14:imgLayer r:embed="rId21">
                    <a14:imgEffect>
                      <a14:sharpenSoften amount="-30000"/>
                    </a14:imgEffect>
                    <a14:imgEffect>
                      <a14:colorTemperature colorTemp="4500"/>
                    </a14:imgEffect>
                    <a14:imgEffect>
                      <a14:saturation sat="60000"/>
                    </a14:imgEffect>
                    <a14:imgEffect>
                      <a14:brightnessContrast bright="100000" contrast="-7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023" y="10660860"/>
            <a:ext cx="557208" cy="557208"/>
          </a:xfrm>
          <a:prstGeom prst="rect">
            <a:avLst/>
          </a:prstGeom>
          <a:effectLst>
            <a:glow>
              <a:schemeClr val="accent1">
                <a:alpha val="40000"/>
              </a:schemeClr>
            </a:glow>
            <a:softEdge rad="0"/>
          </a:effectLst>
        </xdr:spPr>
      </xdr:pic>
      <xdr:sp macro="" textlink="">
        <xdr:nvSpPr>
          <xdr:cNvPr id="54" name="CaixaDeTexto 53">
            <a:extLst>
              <a:ext uri="{FF2B5EF4-FFF2-40B4-BE49-F238E27FC236}">
                <a16:creationId xmlns:a16="http://schemas.microsoft.com/office/drawing/2014/main" xmlns="" id="{00000000-0008-0000-0300-000036000000}"/>
              </a:ext>
            </a:extLst>
          </xdr:cNvPr>
          <xdr:cNvSpPr txBox="1"/>
        </xdr:nvSpPr>
        <xdr:spPr>
          <a:xfrm>
            <a:off x="684074" y="10608237"/>
            <a:ext cx="2120747" cy="6723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chemeClr val="bg1">
                    <a:lumMod val="85000"/>
                  </a:schemeClr>
                </a:solidFill>
                <a:latin typeface="Century Gothic" pitchFamily="34" charset="0"/>
              </a:rPr>
              <a:t>CONSULTA</a:t>
            </a:r>
          </a:p>
          <a:p>
            <a:pPr algn="ctr"/>
            <a:r>
              <a:rPr lang="pt-BR" sz="1800" b="1">
                <a:solidFill>
                  <a:schemeClr val="bg1">
                    <a:lumMod val="85000"/>
                  </a:schemeClr>
                </a:solidFill>
                <a:latin typeface="Century Gothic" pitchFamily="34" charset="0"/>
              </a:rPr>
              <a:t>IT 7.5.1-17 </a:t>
            </a:r>
          </a:p>
        </xdr:txBody>
      </xdr:sp>
    </xdr:grpSp>
    <xdr:clientData/>
  </xdr:twoCellAnchor>
  <xdr:twoCellAnchor editAs="absolute">
    <xdr:from>
      <xdr:col>2</xdr:col>
      <xdr:colOff>172168</xdr:colOff>
      <xdr:row>0</xdr:row>
      <xdr:rowOff>840445</xdr:rowOff>
    </xdr:from>
    <xdr:to>
      <xdr:col>21</xdr:col>
      <xdr:colOff>377608</xdr:colOff>
      <xdr:row>42</xdr:row>
      <xdr:rowOff>155606</xdr:rowOff>
    </xdr:to>
    <xdr:sp macro="" textlink="">
      <xdr:nvSpPr>
        <xdr:cNvPr id="80" name="Retângulo 79">
          <a:extLst>
            <a:ext uri="{FF2B5EF4-FFF2-40B4-BE49-F238E27FC236}">
              <a16:creationId xmlns:a16="http://schemas.microsoft.com/office/drawing/2014/main" xmlns="" id="{00000000-0008-0000-0300-000050000000}"/>
            </a:ext>
          </a:extLst>
        </xdr:cNvPr>
        <xdr:cNvSpPr/>
      </xdr:nvSpPr>
      <xdr:spPr>
        <a:xfrm>
          <a:off x="3185532" y="840445"/>
          <a:ext cx="12033758" cy="10554661"/>
        </a:xfrm>
        <a:prstGeom prst="rect">
          <a:avLst/>
        </a:prstGeom>
        <a:solidFill>
          <a:srgbClr val="E8E8E8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15</xdr:col>
      <xdr:colOff>32927</xdr:colOff>
      <xdr:row>0</xdr:row>
      <xdr:rowOff>899247</xdr:rowOff>
    </xdr:from>
    <xdr:to>
      <xdr:col>15</xdr:col>
      <xdr:colOff>78646</xdr:colOff>
      <xdr:row>41</xdr:row>
      <xdr:rowOff>106815</xdr:rowOff>
    </xdr:to>
    <xdr:sp macro="" textlink="">
      <xdr:nvSpPr>
        <xdr:cNvPr id="82" name="Retângulo 81">
          <a:extLst>
            <a:ext uri="{FF2B5EF4-FFF2-40B4-BE49-F238E27FC236}">
              <a16:creationId xmlns:a16="http://schemas.microsoft.com/office/drawing/2014/main" xmlns="" id="{00000000-0008-0000-0300-000052000000}"/>
            </a:ext>
          </a:extLst>
        </xdr:cNvPr>
        <xdr:cNvSpPr/>
      </xdr:nvSpPr>
      <xdr:spPr>
        <a:xfrm>
          <a:off x="11291477" y="899247"/>
          <a:ext cx="45719" cy="10047018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</xdr:col>
      <xdr:colOff>356426</xdr:colOff>
      <xdr:row>0</xdr:row>
      <xdr:rowOff>911491</xdr:rowOff>
    </xdr:from>
    <xdr:to>
      <xdr:col>8</xdr:col>
      <xdr:colOff>126561</xdr:colOff>
      <xdr:row>4</xdr:row>
      <xdr:rowOff>22582</xdr:rowOff>
    </xdr:to>
    <xdr:sp macro="" textlink="">
      <xdr:nvSpPr>
        <xdr:cNvPr id="83" name="Retângulo 82">
          <a:extLst>
            <a:ext uri="{FF2B5EF4-FFF2-40B4-BE49-F238E27FC236}">
              <a16:creationId xmlns:a16="http://schemas.microsoft.com/office/drawing/2014/main" xmlns="" id="{00000000-0008-0000-0300-000053000000}"/>
            </a:ext>
          </a:extLst>
        </xdr:cNvPr>
        <xdr:cNvSpPr/>
      </xdr:nvSpPr>
      <xdr:spPr>
        <a:xfrm>
          <a:off x="3380614" y="911491"/>
          <a:ext cx="3770635" cy="1063716"/>
        </a:xfrm>
        <a:prstGeom prst="rect">
          <a:avLst/>
        </a:prstGeom>
        <a:solidFill>
          <a:srgbClr val="FFFF99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tx1"/>
              </a:solidFill>
              <a:latin typeface="Century Gothic" pitchFamily="34" charset="0"/>
            </a:rPr>
            <a:t>TAREFAS DE HOJE</a:t>
          </a:r>
        </a:p>
      </xdr:txBody>
    </xdr:sp>
    <xdr:clientData/>
  </xdr:twoCellAnchor>
  <xdr:twoCellAnchor editAs="absolute">
    <xdr:from>
      <xdr:col>8</xdr:col>
      <xdr:colOff>473752</xdr:colOff>
      <xdr:row>0</xdr:row>
      <xdr:rowOff>911491</xdr:rowOff>
    </xdr:from>
    <xdr:to>
      <xdr:col>14</xdr:col>
      <xdr:colOff>496561</xdr:colOff>
      <xdr:row>4</xdr:row>
      <xdr:rowOff>22582</xdr:rowOff>
    </xdr:to>
    <xdr:sp macro="" textlink="">
      <xdr:nvSpPr>
        <xdr:cNvPr id="84" name="Retângulo 83">
          <a:extLst>
            <a:ext uri="{FF2B5EF4-FFF2-40B4-BE49-F238E27FC236}">
              <a16:creationId xmlns:a16="http://schemas.microsoft.com/office/drawing/2014/main" xmlns="" id="{00000000-0008-0000-0300-000054000000}"/>
            </a:ext>
          </a:extLst>
        </xdr:cNvPr>
        <xdr:cNvSpPr/>
      </xdr:nvSpPr>
      <xdr:spPr>
        <a:xfrm>
          <a:off x="7498440" y="911491"/>
          <a:ext cx="3737559" cy="1063716"/>
        </a:xfrm>
        <a:prstGeom prst="rect">
          <a:avLst/>
        </a:prstGeom>
        <a:solidFill>
          <a:srgbClr val="FF7C8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tx1"/>
              </a:solidFill>
              <a:latin typeface="Century Gothic" pitchFamily="34" charset="0"/>
            </a:rPr>
            <a:t>PENDÊNCIAS</a:t>
          </a:r>
        </a:p>
      </xdr:txBody>
    </xdr:sp>
    <xdr:clientData/>
  </xdr:twoCellAnchor>
  <xdr:twoCellAnchor editAs="absolute">
    <xdr:from>
      <xdr:col>15</xdr:col>
      <xdr:colOff>257685</xdr:colOff>
      <xdr:row>0</xdr:row>
      <xdr:rowOff>911489</xdr:rowOff>
    </xdr:from>
    <xdr:to>
      <xdr:col>21</xdr:col>
      <xdr:colOff>280494</xdr:colOff>
      <xdr:row>4</xdr:row>
      <xdr:rowOff>22580</xdr:rowOff>
    </xdr:to>
    <xdr:sp macro="" textlink="">
      <xdr:nvSpPr>
        <xdr:cNvPr id="85" name="Retângulo 84">
          <a:extLst>
            <a:ext uri="{FF2B5EF4-FFF2-40B4-BE49-F238E27FC236}">
              <a16:creationId xmlns:a16="http://schemas.microsoft.com/office/drawing/2014/main" xmlns="" id="{00000000-0008-0000-0300-000055000000}"/>
            </a:ext>
          </a:extLst>
        </xdr:cNvPr>
        <xdr:cNvSpPr/>
      </xdr:nvSpPr>
      <xdr:spPr>
        <a:xfrm>
          <a:off x="11616248" y="911489"/>
          <a:ext cx="3737559" cy="1063716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tx1"/>
              </a:solidFill>
              <a:latin typeface="Century Gothic" pitchFamily="34" charset="0"/>
            </a:rPr>
            <a:t>CONCLUÍDOS</a:t>
          </a:r>
        </a:p>
      </xdr:txBody>
    </xdr:sp>
    <xdr:clientData/>
  </xdr:twoCellAnchor>
  <xdr:twoCellAnchor editAs="absolute">
    <xdr:from>
      <xdr:col>22</xdr:col>
      <xdr:colOff>44519</xdr:colOff>
      <xdr:row>20</xdr:row>
      <xdr:rowOff>56783</xdr:rowOff>
    </xdr:from>
    <xdr:to>
      <xdr:col>28</xdr:col>
      <xdr:colOff>271500</xdr:colOff>
      <xdr:row>34</xdr:row>
      <xdr:rowOff>22756</xdr:rowOff>
    </xdr:to>
    <xdr:sp macro="" textlink="">
      <xdr:nvSpPr>
        <xdr:cNvPr id="87" name="Retângulo 86">
          <a:extLst>
            <a:ext uri="{FF2B5EF4-FFF2-40B4-BE49-F238E27FC236}">
              <a16:creationId xmlns:a16="http://schemas.microsoft.com/office/drawing/2014/main" xmlns="" id="{00000000-0008-0000-0300-000057000000}"/>
            </a:ext>
          </a:extLst>
        </xdr:cNvPr>
        <xdr:cNvSpPr/>
      </xdr:nvSpPr>
      <xdr:spPr>
        <a:xfrm>
          <a:off x="15570269" y="5066933"/>
          <a:ext cx="4741831" cy="2880623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  <a:effectLst>
          <a:outerShdw blurRad="50800" dist="38100" dir="2700000" sx="101000" sy="101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8000" tIns="72000" rIns="108000" bIns="72000" rtlCol="0" anchor="t" anchorCtr="0"/>
        <a:lstStyle/>
        <a:p>
          <a:pPr algn="l"/>
          <a:r>
            <a:rPr lang="pt-BR" sz="1600" b="1">
              <a:solidFill>
                <a:srgbClr val="022874"/>
              </a:solidFill>
              <a:latin typeface="Century Gothic" pitchFamily="34" charset="0"/>
            </a:rPr>
            <a:t>LEMBRETES</a:t>
          </a:r>
        </a:p>
      </xdr:txBody>
    </xdr:sp>
    <xdr:clientData/>
  </xdr:twoCellAnchor>
  <xdr:twoCellAnchor editAs="absolute">
    <xdr:from>
      <xdr:col>22</xdr:col>
      <xdr:colOff>17190</xdr:colOff>
      <xdr:row>0</xdr:row>
      <xdr:rowOff>855262</xdr:rowOff>
    </xdr:from>
    <xdr:to>
      <xdr:col>28</xdr:col>
      <xdr:colOff>298828</xdr:colOff>
      <xdr:row>19</xdr:row>
      <xdr:rowOff>74710</xdr:rowOff>
    </xdr:to>
    <xdr:sp macro="" textlink="">
      <xdr:nvSpPr>
        <xdr:cNvPr id="88" name="Retângulo 87">
          <a:extLst>
            <a:ext uri="{FF2B5EF4-FFF2-40B4-BE49-F238E27FC236}">
              <a16:creationId xmlns:a16="http://schemas.microsoft.com/office/drawing/2014/main" xmlns="" id="{00000000-0008-0000-0300-000058000000}"/>
            </a:ext>
          </a:extLst>
        </xdr:cNvPr>
        <xdr:cNvSpPr/>
      </xdr:nvSpPr>
      <xdr:spPr>
        <a:xfrm>
          <a:off x="15542940" y="855262"/>
          <a:ext cx="4796488" cy="4039098"/>
        </a:xfrm>
        <a:prstGeom prst="rect">
          <a:avLst/>
        </a:prstGeom>
        <a:solidFill>
          <a:srgbClr val="FFFFC9"/>
        </a:solidFill>
        <a:ln>
          <a:noFill/>
        </a:ln>
        <a:effectLst>
          <a:outerShdw blurRad="50800" dist="38100" dir="2700000" sx="101000" sy="101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8000" tIns="72000" rIns="108000" bIns="72000" rtlCol="0" anchor="t" anchorCtr="0"/>
        <a:lstStyle/>
        <a:p>
          <a:pPr algn="l"/>
          <a:r>
            <a:rPr lang="pt-BR" sz="1600" b="1">
              <a:solidFill>
                <a:srgbClr val="022874"/>
              </a:solidFill>
              <a:latin typeface="Century Gothic" pitchFamily="34" charset="0"/>
            </a:rPr>
            <a:t>ANOTAÇÕES</a:t>
          </a:r>
          <a:endParaRPr lang="pt-BR" sz="1600" b="1" baseline="0">
            <a:solidFill>
              <a:srgbClr val="022874"/>
            </a:solidFill>
            <a:latin typeface="Century Gothic" pitchFamily="34" charset="0"/>
          </a:endParaRPr>
        </a:p>
        <a:p>
          <a:pPr algn="l"/>
          <a:endParaRPr lang="pt-BR" sz="1000" b="1" baseline="0">
            <a:solidFill>
              <a:srgbClr val="022874"/>
            </a:solidFill>
            <a:latin typeface="Century Gothic" pitchFamily="34" charset="0"/>
          </a:endParaRPr>
        </a:p>
        <a:p>
          <a:pPr algn="l"/>
          <a:endParaRPr lang="pt-BR" sz="1000" b="1">
            <a:solidFill>
              <a:srgbClr val="022874"/>
            </a:solidFill>
            <a:latin typeface="Century Gothic" pitchFamily="34" charset="0"/>
          </a:endParaRPr>
        </a:p>
      </xdr:txBody>
    </xdr:sp>
    <xdr:clientData/>
  </xdr:twoCellAnchor>
  <xdr:twoCellAnchor editAs="absolute">
    <xdr:from>
      <xdr:col>28</xdr:col>
      <xdr:colOff>411699</xdr:colOff>
      <xdr:row>0</xdr:row>
      <xdr:rowOff>858252</xdr:rowOff>
    </xdr:from>
    <xdr:to>
      <xdr:col>34</xdr:col>
      <xdr:colOff>606136</xdr:colOff>
      <xdr:row>19</xdr:row>
      <xdr:rowOff>77700</xdr:rowOff>
    </xdr:to>
    <xdr:sp macro="" textlink="">
      <xdr:nvSpPr>
        <xdr:cNvPr id="92" name="Retângulo 91">
          <a:extLst>
            <a:ext uri="{FF2B5EF4-FFF2-40B4-BE49-F238E27FC236}">
              <a16:creationId xmlns:a16="http://schemas.microsoft.com/office/drawing/2014/main" xmlns="" id="{00000000-0008-0000-0300-00005C000000}"/>
            </a:ext>
          </a:extLst>
        </xdr:cNvPr>
        <xdr:cNvSpPr/>
      </xdr:nvSpPr>
      <xdr:spPr>
        <a:xfrm>
          <a:off x="20452299" y="858252"/>
          <a:ext cx="4880737" cy="4039098"/>
        </a:xfrm>
        <a:prstGeom prst="rect">
          <a:avLst/>
        </a:prstGeom>
        <a:solidFill>
          <a:srgbClr val="FFFFC9"/>
        </a:solidFill>
        <a:ln>
          <a:noFill/>
        </a:ln>
        <a:effectLst>
          <a:outerShdw blurRad="50800" dist="38100" dir="2700000" sx="101000" sy="101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8000" tIns="72000" rIns="108000" bIns="72000" rtlCol="0" anchor="t" anchorCtr="0"/>
        <a:lstStyle/>
        <a:p>
          <a:pPr algn="l"/>
          <a:r>
            <a:rPr lang="pt-BR" sz="1600" b="1">
              <a:solidFill>
                <a:srgbClr val="022874"/>
              </a:solidFill>
              <a:latin typeface="Century Gothic" pitchFamily="34" charset="0"/>
            </a:rPr>
            <a:t>ANOTAÇÕES</a:t>
          </a:r>
          <a:endParaRPr lang="pt-BR" sz="1600" b="1" baseline="0">
            <a:solidFill>
              <a:srgbClr val="022874"/>
            </a:solidFill>
            <a:latin typeface="Century Gothic" pitchFamily="34" charset="0"/>
          </a:endParaRPr>
        </a:p>
        <a:p>
          <a:pPr algn="l"/>
          <a:endParaRPr lang="pt-BR" sz="1000" b="1" baseline="0">
            <a:solidFill>
              <a:srgbClr val="022874"/>
            </a:solidFill>
            <a:latin typeface="Century Gothic" pitchFamily="34" charset="0"/>
          </a:endParaRPr>
        </a:p>
        <a:p>
          <a:pPr algn="l"/>
          <a:endParaRPr lang="pt-BR" sz="1000" b="1">
            <a:solidFill>
              <a:srgbClr val="022874"/>
            </a:solidFill>
            <a:latin typeface="Century Gothic" pitchFamily="34" charset="0"/>
          </a:endParaRPr>
        </a:p>
      </xdr:txBody>
    </xdr:sp>
    <xdr:clientData/>
  </xdr:twoCellAnchor>
  <xdr:twoCellAnchor editAs="absolute">
    <xdr:from>
      <xdr:col>28</xdr:col>
      <xdr:colOff>425299</xdr:colOff>
      <xdr:row>20</xdr:row>
      <xdr:rowOff>59770</xdr:rowOff>
    </xdr:from>
    <xdr:to>
      <xdr:col>34</xdr:col>
      <xdr:colOff>606136</xdr:colOff>
      <xdr:row>34</xdr:row>
      <xdr:rowOff>25743</xdr:rowOff>
    </xdr:to>
    <xdr:sp macro="" textlink="">
      <xdr:nvSpPr>
        <xdr:cNvPr id="93" name="Retângulo 92">
          <a:extLst>
            <a:ext uri="{FF2B5EF4-FFF2-40B4-BE49-F238E27FC236}">
              <a16:creationId xmlns:a16="http://schemas.microsoft.com/office/drawing/2014/main" xmlns="" id="{00000000-0008-0000-0300-00005D000000}"/>
            </a:ext>
          </a:extLst>
        </xdr:cNvPr>
        <xdr:cNvSpPr/>
      </xdr:nvSpPr>
      <xdr:spPr>
        <a:xfrm>
          <a:off x="20465899" y="5069920"/>
          <a:ext cx="4867137" cy="2880623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  <a:effectLst>
          <a:outerShdw blurRad="50800" dist="38100" dir="2700000" sx="101000" sy="101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8000" tIns="72000" rIns="108000" bIns="72000" rtlCol="0" anchor="t" anchorCtr="0"/>
        <a:lstStyle/>
        <a:p>
          <a:pPr algn="l"/>
          <a:r>
            <a:rPr lang="pt-BR" sz="1600" b="1">
              <a:solidFill>
                <a:srgbClr val="022874"/>
              </a:solidFill>
              <a:latin typeface="Century Gothic" pitchFamily="34" charset="0"/>
            </a:rPr>
            <a:t>LEMBRETES</a:t>
          </a:r>
        </a:p>
      </xdr:txBody>
    </xdr:sp>
    <xdr:clientData/>
  </xdr:twoCellAnchor>
  <xdr:twoCellAnchor editAs="absolute">
    <xdr:from>
      <xdr:col>0</xdr:col>
      <xdr:colOff>280319</xdr:colOff>
      <xdr:row>35</xdr:row>
      <xdr:rowOff>217650</xdr:rowOff>
    </xdr:from>
    <xdr:to>
      <xdr:col>1</xdr:col>
      <xdr:colOff>2223629</xdr:colOff>
      <xdr:row>37</xdr:row>
      <xdr:rowOff>55237</xdr:rowOff>
    </xdr:to>
    <xdr:grpSp>
      <xdr:nvGrpSpPr>
        <xdr:cNvPr id="94" name="Grupo 93">
          <a:extLst>
            <a:ext uri="{FF2B5EF4-FFF2-40B4-BE49-F238E27FC236}">
              <a16:creationId xmlns:a16="http://schemas.microsoft.com/office/drawing/2014/main" xmlns="" id="{00000000-0008-0000-0300-00005E000000}"/>
            </a:ext>
          </a:extLst>
        </xdr:cNvPr>
        <xdr:cNvGrpSpPr>
          <a:grpSpLocks noChangeAspect="1"/>
        </xdr:cNvGrpSpPr>
      </xdr:nvGrpSpPr>
      <xdr:grpSpPr>
        <a:xfrm>
          <a:off x="280319" y="8565014"/>
          <a:ext cx="2549446" cy="564950"/>
          <a:chOff x="258574" y="7168177"/>
          <a:chExt cx="2564195" cy="568414"/>
        </a:xfrm>
      </xdr:grpSpPr>
      <xdr:pic>
        <xdr:nvPicPr>
          <xdr:cNvPr id="95" name="Imagem 94">
            <a:extLst>
              <a:ext uri="{FF2B5EF4-FFF2-40B4-BE49-F238E27FC236}">
                <a16:creationId xmlns:a16="http://schemas.microsoft.com/office/drawing/2014/main" xmlns="" id="{00000000-0008-0000-0300-00005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8574" y="7168177"/>
            <a:ext cx="571931" cy="568414"/>
          </a:xfrm>
          <a:prstGeom prst="rect">
            <a:avLst/>
          </a:prstGeom>
        </xdr:spPr>
      </xdr:pic>
      <xdr:sp macro="" textlink="">
        <xdr:nvSpPr>
          <xdr:cNvPr id="96" name="CaixaDeTexto 95">
            <a:extLst>
              <a:ext uri="{FF2B5EF4-FFF2-40B4-BE49-F238E27FC236}">
                <a16:creationId xmlns:a16="http://schemas.microsoft.com/office/drawing/2014/main" xmlns="" id="{00000000-0008-0000-0300-000060000000}"/>
              </a:ext>
            </a:extLst>
          </xdr:cNvPr>
          <xdr:cNvSpPr txBox="1"/>
        </xdr:nvSpPr>
        <xdr:spPr>
          <a:xfrm>
            <a:off x="698236" y="7357362"/>
            <a:ext cx="2124533" cy="23526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ysClr val="windowText" lastClr="000000"/>
                </a:solidFill>
                <a:latin typeface="Century Gothic" pitchFamily="34" charset="0"/>
              </a:rPr>
              <a:t>Kanban</a:t>
            </a:r>
          </a:p>
        </xdr:txBody>
      </xdr:sp>
    </xdr:grpSp>
    <xdr:clientData/>
  </xdr:twoCellAnchor>
  <xdr:twoCellAnchor editAs="absolute">
    <xdr:from>
      <xdr:col>0</xdr:col>
      <xdr:colOff>261996</xdr:colOff>
      <xdr:row>27</xdr:row>
      <xdr:rowOff>166551</xdr:rowOff>
    </xdr:from>
    <xdr:to>
      <xdr:col>1</xdr:col>
      <xdr:colOff>2207593</xdr:colOff>
      <xdr:row>32</xdr:row>
      <xdr:rowOff>17147</xdr:rowOff>
    </xdr:to>
    <xdr:grpSp>
      <xdr:nvGrpSpPr>
        <xdr:cNvPr id="60" name="Grupo 59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00000000-0008-0000-0300-00003C000000}"/>
            </a:ext>
          </a:extLst>
        </xdr:cNvPr>
        <xdr:cNvGrpSpPr>
          <a:grpSpLocks noChangeAspect="1"/>
        </xdr:cNvGrpSpPr>
      </xdr:nvGrpSpPr>
      <xdr:grpSpPr>
        <a:xfrm>
          <a:off x="261996" y="6505006"/>
          <a:ext cx="2551733" cy="803096"/>
          <a:chOff x="209311" y="7034936"/>
          <a:chExt cx="2576038" cy="800195"/>
        </a:xfrm>
      </xdr:grpSpPr>
      <xdr:pic>
        <xdr:nvPicPr>
          <xdr:cNvPr id="61" name="Imagem 60">
            <a:extLst>
              <a:ext uri="{FF2B5EF4-FFF2-40B4-BE49-F238E27FC236}">
                <a16:creationId xmlns:a16="http://schemas.microsoft.com/office/drawing/2014/main" xmlns="" id="{00000000-0008-0000-0300-00003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lum bright="70000" contrast="-7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9311" y="7145765"/>
            <a:ext cx="558203" cy="568414"/>
          </a:xfrm>
          <a:prstGeom prst="rect">
            <a:avLst/>
          </a:prstGeom>
        </xdr:spPr>
      </xdr:pic>
      <xdr:sp macro="" textlink="">
        <xdr:nvSpPr>
          <xdr:cNvPr id="62" name="CaixaDeTexto 61">
            <a:extLst>
              <a:ext uri="{FF2B5EF4-FFF2-40B4-BE49-F238E27FC236}">
                <a16:creationId xmlns:a16="http://schemas.microsoft.com/office/drawing/2014/main" xmlns="" id="{00000000-0008-0000-0300-00003E000000}"/>
              </a:ext>
            </a:extLst>
          </xdr:cNvPr>
          <xdr:cNvSpPr txBox="1"/>
        </xdr:nvSpPr>
        <xdr:spPr>
          <a:xfrm>
            <a:off x="660816" y="7034936"/>
            <a:ext cx="2124533" cy="8001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 baseline="0">
                <a:solidFill>
                  <a:schemeClr val="bg1"/>
                </a:solidFill>
                <a:effectLst/>
                <a:latin typeface="Century Gothic" panose="020B0502020202020204" pitchFamily="34" charset="0"/>
                <a:ea typeface="+mn-ea"/>
                <a:cs typeface="+mn-cs"/>
              </a:rPr>
              <a:t>Ficha Técnica</a:t>
            </a:r>
            <a:br>
              <a:rPr lang="pt-BR" sz="1800" b="1" baseline="0">
                <a:solidFill>
                  <a:schemeClr val="bg1"/>
                </a:solidFill>
                <a:effectLst/>
                <a:latin typeface="Century Gothic" panose="020B0502020202020204" pitchFamily="34" charset="0"/>
                <a:ea typeface="+mn-ea"/>
                <a:cs typeface="+mn-cs"/>
              </a:rPr>
            </a:br>
            <a:r>
              <a:rPr lang="pt-BR" sz="1800" b="1" baseline="0">
                <a:solidFill>
                  <a:schemeClr val="bg1"/>
                </a:solidFill>
                <a:effectLst/>
                <a:latin typeface="Century Gothic" panose="020B0502020202020204" pitchFamily="34" charset="0"/>
                <a:ea typeface="+mn-ea"/>
                <a:cs typeface="+mn-cs"/>
              </a:rPr>
              <a:t>Polimeros</a:t>
            </a:r>
            <a:endParaRPr lang="pt-BR" sz="1800">
              <a:solidFill>
                <a:schemeClr val="bg1"/>
              </a:solidFill>
              <a:effectLst/>
              <a:latin typeface="Century Gothic" panose="020B0502020202020204" pitchFamily="34" charset="0"/>
            </a:endParaRPr>
          </a:p>
        </xdr:txBody>
      </xdr:sp>
    </xdr:grpSp>
    <xdr:clientData/>
  </xdr:twoCellAnchor>
  <xdr:twoCellAnchor editAs="absolute">
    <xdr:from>
      <xdr:col>8</xdr:col>
      <xdr:colOff>280577</xdr:colOff>
      <xdr:row>0</xdr:row>
      <xdr:rowOff>918297</xdr:rowOff>
    </xdr:from>
    <xdr:to>
      <xdr:col>8</xdr:col>
      <xdr:colOff>326296</xdr:colOff>
      <xdr:row>41</xdr:row>
      <xdr:rowOff>125865</xdr:rowOff>
    </xdr:to>
    <xdr:sp macro="" textlink="">
      <xdr:nvSpPr>
        <xdr:cNvPr id="48" name="Retângulo 47">
          <a:extLst>
            <a:ext uri="{FF2B5EF4-FFF2-40B4-BE49-F238E27FC236}">
              <a16:creationId xmlns:a16="http://schemas.microsoft.com/office/drawing/2014/main" xmlns="" id="{00000000-0008-0000-0300-000030000000}"/>
            </a:ext>
          </a:extLst>
        </xdr:cNvPr>
        <xdr:cNvSpPr/>
      </xdr:nvSpPr>
      <xdr:spPr>
        <a:xfrm>
          <a:off x="7271927" y="918297"/>
          <a:ext cx="45719" cy="10047018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400050</xdr:colOff>
      <xdr:row>5</xdr:row>
      <xdr:rowOff>38100</xdr:rowOff>
    </xdr:from>
    <xdr:to>
      <xdr:col>8</xdr:col>
      <xdr:colOff>76200</xdr:colOff>
      <xdr:row>8</xdr:row>
      <xdr:rowOff>95250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SpPr/>
      </xdr:nvSpPr>
      <xdr:spPr>
        <a:xfrm>
          <a:off x="3429000" y="2190750"/>
          <a:ext cx="3638550" cy="628650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400050</xdr:colOff>
      <xdr:row>9</xdr:row>
      <xdr:rowOff>57150</xdr:rowOff>
    </xdr:from>
    <xdr:to>
      <xdr:col>8</xdr:col>
      <xdr:colOff>76200</xdr:colOff>
      <xdr:row>12</xdr:row>
      <xdr:rowOff>114300</xdr:rowOff>
    </xdr:to>
    <xdr:sp macro="" textlink="">
      <xdr:nvSpPr>
        <xdr:cNvPr id="55" name="Retângulo 54">
          <a:extLst>
            <a:ext uri="{FF2B5EF4-FFF2-40B4-BE49-F238E27FC236}">
              <a16:creationId xmlns:a16="http://schemas.microsoft.com/office/drawing/2014/main" xmlns="" id="{00000000-0008-0000-0300-000037000000}"/>
            </a:ext>
          </a:extLst>
        </xdr:cNvPr>
        <xdr:cNvSpPr/>
      </xdr:nvSpPr>
      <xdr:spPr>
        <a:xfrm>
          <a:off x="3429000" y="2971800"/>
          <a:ext cx="3638550" cy="628650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400050</xdr:colOff>
      <xdr:row>13</xdr:row>
      <xdr:rowOff>76200</xdr:rowOff>
    </xdr:from>
    <xdr:to>
      <xdr:col>8</xdr:col>
      <xdr:colOff>76200</xdr:colOff>
      <xdr:row>16</xdr:row>
      <xdr:rowOff>133350</xdr:rowOff>
    </xdr:to>
    <xdr:sp macro="" textlink="">
      <xdr:nvSpPr>
        <xdr:cNvPr id="56" name="Retângulo 55">
          <a:extLst>
            <a:ext uri="{FF2B5EF4-FFF2-40B4-BE49-F238E27FC236}">
              <a16:creationId xmlns:a16="http://schemas.microsoft.com/office/drawing/2014/main" xmlns="" id="{00000000-0008-0000-0300-000038000000}"/>
            </a:ext>
          </a:extLst>
        </xdr:cNvPr>
        <xdr:cNvSpPr/>
      </xdr:nvSpPr>
      <xdr:spPr>
        <a:xfrm>
          <a:off x="3429000" y="3752850"/>
          <a:ext cx="3638550" cy="628650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495300</xdr:colOff>
      <xdr:row>5</xdr:row>
      <xdr:rowOff>57150</xdr:rowOff>
    </xdr:from>
    <xdr:to>
      <xdr:col>14</xdr:col>
      <xdr:colOff>476250</xdr:colOff>
      <xdr:row>8</xdr:row>
      <xdr:rowOff>114300</xdr:rowOff>
    </xdr:to>
    <xdr:sp macro="" textlink="">
      <xdr:nvSpPr>
        <xdr:cNvPr id="57" name="Retângulo 56">
          <a:extLst>
            <a:ext uri="{FF2B5EF4-FFF2-40B4-BE49-F238E27FC236}">
              <a16:creationId xmlns:a16="http://schemas.microsoft.com/office/drawing/2014/main" xmlns="" id="{00000000-0008-0000-0300-000039000000}"/>
            </a:ext>
          </a:extLst>
        </xdr:cNvPr>
        <xdr:cNvSpPr/>
      </xdr:nvSpPr>
      <xdr:spPr>
        <a:xfrm>
          <a:off x="7486650" y="2209800"/>
          <a:ext cx="3638550" cy="628650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495300</xdr:colOff>
      <xdr:row>9</xdr:row>
      <xdr:rowOff>76200</xdr:rowOff>
    </xdr:from>
    <xdr:to>
      <xdr:col>14</xdr:col>
      <xdr:colOff>476250</xdr:colOff>
      <xdr:row>12</xdr:row>
      <xdr:rowOff>133350</xdr:rowOff>
    </xdr:to>
    <xdr:sp macro="" textlink="">
      <xdr:nvSpPr>
        <xdr:cNvPr id="58" name="Retângulo 57">
          <a:extLst>
            <a:ext uri="{FF2B5EF4-FFF2-40B4-BE49-F238E27FC236}">
              <a16:creationId xmlns:a16="http://schemas.microsoft.com/office/drawing/2014/main" xmlns="" id="{00000000-0008-0000-0300-00003A000000}"/>
            </a:ext>
          </a:extLst>
        </xdr:cNvPr>
        <xdr:cNvSpPr/>
      </xdr:nvSpPr>
      <xdr:spPr>
        <a:xfrm>
          <a:off x="7486650" y="2990850"/>
          <a:ext cx="3638550" cy="628650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495300</xdr:colOff>
      <xdr:row>13</xdr:row>
      <xdr:rowOff>95250</xdr:rowOff>
    </xdr:from>
    <xdr:to>
      <xdr:col>14</xdr:col>
      <xdr:colOff>476250</xdr:colOff>
      <xdr:row>16</xdr:row>
      <xdr:rowOff>152400</xdr:rowOff>
    </xdr:to>
    <xdr:sp macro="" textlink="">
      <xdr:nvSpPr>
        <xdr:cNvPr id="59" name="Retângulo 58">
          <a:extLst>
            <a:ext uri="{FF2B5EF4-FFF2-40B4-BE49-F238E27FC236}">
              <a16:creationId xmlns:a16="http://schemas.microsoft.com/office/drawing/2014/main" xmlns="" id="{00000000-0008-0000-0300-00003B000000}"/>
            </a:ext>
          </a:extLst>
        </xdr:cNvPr>
        <xdr:cNvSpPr/>
      </xdr:nvSpPr>
      <xdr:spPr>
        <a:xfrm>
          <a:off x="7486650" y="3771900"/>
          <a:ext cx="3638550" cy="628650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304800</xdr:colOff>
      <xdr:row>5</xdr:row>
      <xdr:rowOff>57150</xdr:rowOff>
    </xdr:from>
    <xdr:to>
      <xdr:col>21</xdr:col>
      <xdr:colOff>285750</xdr:colOff>
      <xdr:row>8</xdr:row>
      <xdr:rowOff>114300</xdr:rowOff>
    </xdr:to>
    <xdr:sp macro="" textlink="">
      <xdr:nvSpPr>
        <xdr:cNvPr id="63" name="Retângulo 62">
          <a:extLst>
            <a:ext uri="{FF2B5EF4-FFF2-40B4-BE49-F238E27FC236}">
              <a16:creationId xmlns:a16="http://schemas.microsoft.com/office/drawing/2014/main" xmlns="" id="{00000000-0008-0000-0300-00003F000000}"/>
            </a:ext>
          </a:extLst>
        </xdr:cNvPr>
        <xdr:cNvSpPr/>
      </xdr:nvSpPr>
      <xdr:spPr>
        <a:xfrm>
          <a:off x="11563350" y="2209800"/>
          <a:ext cx="3638550" cy="628650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304800</xdr:colOff>
      <xdr:row>9</xdr:row>
      <xdr:rowOff>76200</xdr:rowOff>
    </xdr:from>
    <xdr:to>
      <xdr:col>21</xdr:col>
      <xdr:colOff>285750</xdr:colOff>
      <xdr:row>12</xdr:row>
      <xdr:rowOff>133350</xdr:rowOff>
    </xdr:to>
    <xdr:sp macro="" textlink="">
      <xdr:nvSpPr>
        <xdr:cNvPr id="64" name="Retângulo 63">
          <a:extLst>
            <a:ext uri="{FF2B5EF4-FFF2-40B4-BE49-F238E27FC236}">
              <a16:creationId xmlns:a16="http://schemas.microsoft.com/office/drawing/2014/main" xmlns="" id="{00000000-0008-0000-0300-000040000000}"/>
            </a:ext>
          </a:extLst>
        </xdr:cNvPr>
        <xdr:cNvSpPr/>
      </xdr:nvSpPr>
      <xdr:spPr>
        <a:xfrm>
          <a:off x="11563350" y="2990850"/>
          <a:ext cx="3638550" cy="628650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304800</xdr:colOff>
      <xdr:row>13</xdr:row>
      <xdr:rowOff>95250</xdr:rowOff>
    </xdr:from>
    <xdr:to>
      <xdr:col>21</xdr:col>
      <xdr:colOff>285750</xdr:colOff>
      <xdr:row>16</xdr:row>
      <xdr:rowOff>152400</xdr:rowOff>
    </xdr:to>
    <xdr:sp macro="" textlink="">
      <xdr:nvSpPr>
        <xdr:cNvPr id="65" name="Retângulo 64">
          <a:extLst>
            <a:ext uri="{FF2B5EF4-FFF2-40B4-BE49-F238E27FC236}">
              <a16:creationId xmlns:a16="http://schemas.microsoft.com/office/drawing/2014/main" xmlns="" id="{00000000-0008-0000-0300-000041000000}"/>
            </a:ext>
          </a:extLst>
        </xdr:cNvPr>
        <xdr:cNvSpPr/>
      </xdr:nvSpPr>
      <xdr:spPr>
        <a:xfrm>
          <a:off x="11563350" y="3771900"/>
          <a:ext cx="3638550" cy="628650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16118</xdr:colOff>
      <xdr:row>0</xdr:row>
      <xdr:rowOff>3718</xdr:rowOff>
    </xdr:from>
    <xdr:to>
      <xdr:col>1</xdr:col>
      <xdr:colOff>2388577</xdr:colOff>
      <xdr:row>0</xdr:row>
      <xdr:rowOff>1108364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xmlns="" id="{00000000-0008-0000-0400-00001C000000}"/>
            </a:ext>
          </a:extLst>
        </xdr:cNvPr>
        <xdr:cNvSpPr/>
      </xdr:nvSpPr>
      <xdr:spPr>
        <a:xfrm>
          <a:off x="16118" y="3718"/>
          <a:ext cx="2978595" cy="1104646"/>
        </a:xfrm>
        <a:prstGeom prst="rect">
          <a:avLst/>
        </a:prstGeom>
        <a:gradFill flip="none" rotWithShape="1">
          <a:gsLst>
            <a:gs pos="83000">
              <a:schemeClr val="tx2">
                <a:lumMod val="75000"/>
              </a:schemeClr>
            </a:gs>
            <a:gs pos="37000">
              <a:srgbClr val="0F0D24">
                <a:lumMod val="90000"/>
              </a:srgbClr>
            </a:gs>
          </a:gsLst>
          <a:path path="circle">
            <a:fillToRect l="100000" t="100000"/>
          </a:path>
          <a:tileRect r="-100000" b="-10000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254766</xdr:colOff>
      <xdr:row>48</xdr:row>
      <xdr:rowOff>109344</xdr:rowOff>
    </xdr:from>
    <xdr:to>
      <xdr:col>1</xdr:col>
      <xdr:colOff>2216728</xdr:colOff>
      <xdr:row>52</xdr:row>
      <xdr:rowOff>30909</xdr:rowOff>
    </xdr:to>
    <xdr:grpSp>
      <xdr:nvGrpSpPr>
        <xdr:cNvPr id="29" name="Grupo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400-00001D000000}"/>
            </a:ext>
          </a:extLst>
        </xdr:cNvPr>
        <xdr:cNvGrpSpPr/>
      </xdr:nvGrpSpPr>
      <xdr:grpSpPr>
        <a:xfrm>
          <a:off x="254766" y="10188526"/>
          <a:ext cx="2568098" cy="683565"/>
          <a:chOff x="196023" y="10608237"/>
          <a:chExt cx="2608798" cy="672360"/>
        </a:xfrm>
      </xdr:grpSpPr>
      <xdr:pic>
        <xdr:nvPicPr>
          <xdr:cNvPr id="30" name="Imagem 29">
            <a:extLst>
              <a:ext uri="{FF2B5EF4-FFF2-40B4-BE49-F238E27FC236}">
                <a16:creationId xmlns:a16="http://schemas.microsoft.com/office/drawing/2014/main" xmlns="" id="{00000000-0008-0000-0400-00001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sharpenSoften amount="-30000"/>
                    </a14:imgEffect>
                    <a14:imgEffect>
                      <a14:colorTemperature colorTemp="4500"/>
                    </a14:imgEffect>
                    <a14:imgEffect>
                      <a14:saturation sat="60000"/>
                    </a14:imgEffect>
                    <a14:imgEffect>
                      <a14:brightnessContrast bright="100000" contrast="-7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023" y="10660860"/>
            <a:ext cx="557208" cy="557208"/>
          </a:xfrm>
          <a:prstGeom prst="rect">
            <a:avLst/>
          </a:prstGeom>
          <a:effectLst>
            <a:glow>
              <a:schemeClr val="accent1">
                <a:alpha val="40000"/>
              </a:schemeClr>
            </a:glow>
            <a:softEdge rad="0"/>
          </a:effectLst>
        </xdr:spPr>
      </xdr:pic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xmlns="" id="{00000000-0008-0000-0400-00001F000000}"/>
              </a:ext>
            </a:extLst>
          </xdr:cNvPr>
          <xdr:cNvSpPr txBox="1"/>
        </xdr:nvSpPr>
        <xdr:spPr>
          <a:xfrm>
            <a:off x="684074" y="10608237"/>
            <a:ext cx="2120747" cy="6723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chemeClr val="bg1">
                    <a:lumMod val="85000"/>
                  </a:schemeClr>
                </a:solidFill>
                <a:latin typeface="Century Gothic" pitchFamily="34" charset="0"/>
              </a:rPr>
              <a:t>CONSULTA</a:t>
            </a:r>
          </a:p>
          <a:p>
            <a:pPr algn="ctr"/>
            <a:r>
              <a:rPr lang="pt-BR" sz="1800" b="1">
                <a:solidFill>
                  <a:schemeClr val="bg1">
                    <a:lumMod val="85000"/>
                  </a:schemeClr>
                </a:solidFill>
                <a:latin typeface="Century Gothic" pitchFamily="34" charset="0"/>
              </a:rPr>
              <a:t>IT 7.5.1-17 </a:t>
            </a:r>
          </a:p>
        </xdr:txBody>
      </xdr:sp>
    </xdr:grpSp>
    <xdr:clientData/>
  </xdr:twoCellAnchor>
  <xdr:twoCellAnchor editAs="absolute">
    <xdr:from>
      <xdr:col>0</xdr:col>
      <xdr:colOff>171981</xdr:colOff>
      <xdr:row>0</xdr:row>
      <xdr:rowOff>280808</xdr:rowOff>
    </xdr:from>
    <xdr:to>
      <xdr:col>1</xdr:col>
      <xdr:colOff>2196486</xdr:colOff>
      <xdr:row>0</xdr:row>
      <xdr:rowOff>875300</xdr:rowOff>
    </xdr:to>
    <xdr:pic>
      <xdr:nvPicPr>
        <xdr:cNvPr id="32" name="Picture 2">
          <a:extLst>
            <a:ext uri="{FF2B5EF4-FFF2-40B4-BE49-F238E27FC236}">
              <a16:creationId xmlns:a16="http://schemas.microsoft.com/office/drawing/2014/main" xmlns="" id="{00000000-0008-0000-0400-00002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grayscl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25971" b="71845" l="2865" r="99727"/>
                  </a14:imgEffect>
                  <a14:imgEffect>
                    <a14:brightnessContrast contrast="40000"/>
                  </a14:imgEffect>
                </a14:imgLayer>
              </a14:imgProps>
            </a:ext>
          </a:extLst>
        </a:blip>
        <a:srcRect l="2604" t="25135" r="1215" b="36293"/>
        <a:stretch/>
      </xdr:blipFill>
      <xdr:spPr bwMode="auto">
        <a:xfrm>
          <a:off x="171981" y="280808"/>
          <a:ext cx="2630641" cy="59449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207816</xdr:colOff>
      <xdr:row>2</xdr:row>
      <xdr:rowOff>59779</xdr:rowOff>
    </xdr:from>
    <xdr:to>
      <xdr:col>1</xdr:col>
      <xdr:colOff>2226467</xdr:colOff>
      <xdr:row>5</xdr:row>
      <xdr:rowOff>188937</xdr:rowOff>
    </xdr:to>
    <xdr:grpSp>
      <xdr:nvGrpSpPr>
        <xdr:cNvPr id="33" name="Grupo 3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00000000-0008-0000-0400-000021000000}"/>
            </a:ext>
          </a:extLst>
        </xdr:cNvPr>
        <xdr:cNvGrpSpPr/>
      </xdr:nvGrpSpPr>
      <xdr:grpSpPr>
        <a:xfrm>
          <a:off x="207816" y="1375961"/>
          <a:ext cx="2624787" cy="700658"/>
          <a:chOff x="246903" y="1397698"/>
          <a:chExt cx="2634312" cy="695895"/>
        </a:xfrm>
      </xdr:grpSpPr>
      <xdr:sp macro="" textlink="">
        <xdr:nvSpPr>
          <xdr:cNvPr id="34" name="CaixaDeTexto 33">
            <a:extLst>
              <a:ext uri="{FF2B5EF4-FFF2-40B4-BE49-F238E27FC236}">
                <a16:creationId xmlns:a16="http://schemas.microsoft.com/office/drawing/2014/main" xmlns="" id="{00000000-0008-0000-0400-000022000000}"/>
              </a:ext>
            </a:extLst>
          </xdr:cNvPr>
          <xdr:cNvSpPr txBox="1"/>
        </xdr:nvSpPr>
        <xdr:spPr>
          <a:xfrm>
            <a:off x="656798" y="1478117"/>
            <a:ext cx="2224417" cy="6154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chemeClr val="bg1">
                    <a:lumMod val="95000"/>
                  </a:schemeClr>
                </a:solidFill>
                <a:latin typeface="Century Gothic" pitchFamily="34" charset="0"/>
              </a:rPr>
              <a:t>HOME</a:t>
            </a:r>
          </a:p>
        </xdr:txBody>
      </xdr:sp>
      <xdr:pic>
        <xdr:nvPicPr>
          <xdr:cNvPr id="35" name="Imagem 34">
            <a:extLst>
              <a:ext uri="{FF2B5EF4-FFF2-40B4-BE49-F238E27FC236}">
                <a16:creationId xmlns:a16="http://schemas.microsoft.com/office/drawing/2014/main" xmlns="" id="{00000000-0008-0000-0400-00002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lum bright="70000" contrast="-7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6903" y="1397698"/>
            <a:ext cx="647360" cy="654059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tabColor rgb="FF00B050"/>
    <pageSetUpPr fitToPage="1"/>
  </sheetPr>
  <dimension ref="A1:CB288"/>
  <sheetViews>
    <sheetView tabSelected="1" topLeftCell="A22" zoomScale="55" zoomScaleNormal="55" zoomScaleSheetLayoutView="25" zoomScalePageLayoutView="40" workbookViewId="0">
      <selection activeCell="D41" sqref="D41"/>
    </sheetView>
  </sheetViews>
  <sheetFormatPr defaultRowHeight="15" x14ac:dyDescent="0.25"/>
  <cols>
    <col min="2" max="2" width="36.140625" customWidth="1"/>
    <col min="3" max="3" width="5.7109375" customWidth="1"/>
    <col min="4" max="5" width="23.7109375" customWidth="1"/>
    <col min="6" max="6" width="8.7109375" customWidth="1"/>
    <col min="7" max="8" width="23.7109375" customWidth="1"/>
    <col min="9" max="9" width="8.7109375" customWidth="1"/>
    <col min="10" max="11" width="23.7109375" customWidth="1"/>
    <col min="12" max="12" width="8.7109375" customWidth="1"/>
    <col min="13" max="14" width="23.7109375" customWidth="1"/>
    <col min="15" max="15" width="8.7109375" customWidth="1"/>
    <col min="16" max="17" width="23.7109375" customWidth="1"/>
    <col min="18" max="18" width="8.7109375" customWidth="1"/>
    <col min="19" max="20" width="23.7109375" customWidth="1"/>
    <col min="21" max="21" width="8.7109375" customWidth="1"/>
  </cols>
  <sheetData>
    <row r="1" spans="1:80" ht="88.5" customHeight="1" x14ac:dyDescent="0.25">
      <c r="A1" s="86"/>
      <c r="B1" s="87"/>
      <c r="C1" s="88" t="s">
        <v>0</v>
      </c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ht="9" customHeight="1" thickBot="1" x14ac:dyDescent="0.3">
      <c r="A2" s="86"/>
      <c r="B2" s="87"/>
      <c r="C2" s="7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</row>
    <row r="3" spans="1:80" ht="26.1" customHeight="1" thickBot="1" x14ac:dyDescent="0.3">
      <c r="A3" s="86"/>
      <c r="B3" s="87"/>
      <c r="C3" s="75"/>
      <c r="D3" s="77" t="s">
        <v>24</v>
      </c>
      <c r="E3" s="78"/>
      <c r="F3" s="5"/>
      <c r="G3" s="5"/>
      <c r="H3" s="5"/>
      <c r="I3" s="5"/>
      <c r="J3" s="70" t="s">
        <v>115</v>
      </c>
      <c r="K3" s="71"/>
      <c r="L3" s="5"/>
      <c r="M3" s="70" t="s">
        <v>122</v>
      </c>
      <c r="N3" s="71"/>
      <c r="O3" s="5"/>
      <c r="P3" s="5"/>
      <c r="Q3" s="5"/>
      <c r="R3" s="5"/>
      <c r="S3" s="5"/>
      <c r="T3" s="5"/>
      <c r="U3" s="5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</row>
    <row r="4" spans="1:80" ht="26.1" customHeight="1" x14ac:dyDescent="0.25">
      <c r="A4" s="86"/>
      <c r="B4" s="87"/>
      <c r="C4" s="75"/>
      <c r="D4" s="79" t="str">
        <f>IFERROR(VLOOKUP(E5,'Dados dos moldes'!$B$2:$C$250,2,FALSE),"")</f>
        <v>Corpo 07 Vip retrátil</v>
      </c>
      <c r="E4" s="80"/>
      <c r="F4" s="5"/>
      <c r="G4" s="5"/>
      <c r="H4" s="5"/>
      <c r="I4" s="5"/>
      <c r="J4" s="68" t="str">
        <f>IFERROR(VLOOKUP(K5,'Dados dos moldes'!$B$2:$C$250,2,FALSE),"")</f>
        <v>Corpo Destaq</v>
      </c>
      <c r="K4" s="69"/>
      <c r="L4" s="5"/>
      <c r="M4" s="68" t="str">
        <f>IFERROR(VLOOKUP(N5,'Dados dos moldes'!$B$2:$C$250,2,FALSE),"")</f>
        <v>Corpo Q.B</v>
      </c>
      <c r="N4" s="69"/>
      <c r="O4" s="5"/>
      <c r="P4" s="5"/>
      <c r="Q4" s="5"/>
      <c r="R4" s="5"/>
      <c r="S4" s="5"/>
      <c r="T4" s="5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</row>
    <row r="5" spans="1:80" ht="26.1" customHeight="1" thickBot="1" x14ac:dyDescent="0.3">
      <c r="A5" s="86"/>
      <c r="B5" s="87"/>
      <c r="C5" s="75"/>
      <c r="D5" s="31" t="s">
        <v>25</v>
      </c>
      <c r="E5" s="32">
        <v>183</v>
      </c>
      <c r="F5" s="5"/>
      <c r="G5" s="5"/>
      <c r="H5" s="5"/>
      <c r="I5" s="5"/>
      <c r="J5" s="35" t="s">
        <v>25</v>
      </c>
      <c r="K5" s="36">
        <v>164</v>
      </c>
      <c r="L5" s="5"/>
      <c r="M5" s="35" t="s">
        <v>25</v>
      </c>
      <c r="N5" s="36" t="s">
        <v>27</v>
      </c>
      <c r="O5" s="5"/>
      <c r="P5" s="5"/>
      <c r="Q5" s="5"/>
      <c r="R5" s="5"/>
      <c r="S5" s="5"/>
      <c r="T5" s="5"/>
      <c r="U5" s="5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</row>
    <row r="6" spans="1:80" ht="15" customHeight="1" thickBot="1" x14ac:dyDescent="0.3">
      <c r="A6" s="86"/>
      <c r="B6" s="87"/>
      <c r="C6" s="75"/>
      <c r="D6" s="76"/>
      <c r="E6" s="76"/>
      <c r="F6" s="5"/>
      <c r="G6" s="40"/>
      <c r="H6" s="40"/>
      <c r="I6" s="5"/>
      <c r="J6" s="83"/>
      <c r="K6" s="83"/>
      <c r="L6" s="5"/>
      <c r="M6" s="73"/>
      <c r="N6" s="73"/>
      <c r="O6" s="5"/>
      <c r="P6" s="5"/>
      <c r="Q6" s="5"/>
      <c r="R6" s="5"/>
      <c r="S6" s="5"/>
      <c r="T6" s="5"/>
      <c r="U6" s="5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spans="1:80" ht="26.1" customHeight="1" thickBot="1" x14ac:dyDescent="0.3">
      <c r="A7" s="86"/>
      <c r="B7" s="87"/>
      <c r="C7" s="75"/>
      <c r="D7" s="77" t="s">
        <v>50</v>
      </c>
      <c r="E7" s="78"/>
      <c r="F7" s="5"/>
      <c r="G7" s="66" t="s">
        <v>131</v>
      </c>
      <c r="H7" s="67"/>
      <c r="I7" s="5"/>
      <c r="J7" s="66" t="s">
        <v>117</v>
      </c>
      <c r="K7" s="67"/>
      <c r="L7" s="5"/>
      <c r="M7" s="70" t="s">
        <v>126</v>
      </c>
      <c r="N7" s="71"/>
      <c r="O7" s="5"/>
      <c r="P7" s="5"/>
      <c r="Q7" s="5"/>
      <c r="R7" s="5"/>
      <c r="S7" s="5"/>
      <c r="T7" s="5"/>
      <c r="U7" s="5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</row>
    <row r="8" spans="1:80" ht="26.1" customHeight="1" x14ac:dyDescent="0.25">
      <c r="A8" s="86"/>
      <c r="B8" s="87"/>
      <c r="C8" s="75"/>
      <c r="D8" s="79" t="str">
        <f>IFERROR(VLOOKUP(E9,'Dados dos moldes'!$B$2:$C$250,2,FALSE),"")</f>
        <v>Sem Molde</v>
      </c>
      <c r="E8" s="80"/>
      <c r="F8" s="5"/>
      <c r="G8" s="63" t="str">
        <f>IFERROR(VLOOKUP(H9,'Dados dos moldes'!$B$2:$C$250,2,FALSE),"")</f>
        <v>Corpo 07 / Economic</v>
      </c>
      <c r="H8" s="65"/>
      <c r="I8" s="5"/>
      <c r="J8" s="63" t="str">
        <f>IFERROR(VLOOKUP(K9,'Dados dos moldes'!$B$2:$C$250,2,FALSE),"")</f>
        <v>Tampa Esf. Top</v>
      </c>
      <c r="K8" s="64"/>
      <c r="L8" s="5"/>
      <c r="M8" s="68" t="str">
        <f>IFERROR(VLOOKUP(N9,'Dados dos moldes'!$B$2:$C$250,2,FALSE),"")</f>
        <v>Tampa Pincel</v>
      </c>
      <c r="N8" s="69"/>
      <c r="O8" s="5"/>
      <c r="P8" s="5"/>
      <c r="Q8" s="5"/>
      <c r="R8" s="5"/>
      <c r="S8" s="5"/>
      <c r="T8" s="5"/>
      <c r="U8" s="5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spans="1:80" ht="26.1" customHeight="1" thickBot="1" x14ac:dyDescent="0.3">
      <c r="A9" s="86"/>
      <c r="B9" s="87"/>
      <c r="C9" s="75"/>
      <c r="D9" s="31" t="s">
        <v>25</v>
      </c>
      <c r="E9" s="32" t="s">
        <v>109</v>
      </c>
      <c r="F9" s="5"/>
      <c r="G9" s="33" t="s">
        <v>25</v>
      </c>
      <c r="H9" s="34">
        <v>192</v>
      </c>
      <c r="I9" s="5"/>
      <c r="J9" s="33" t="s">
        <v>25</v>
      </c>
      <c r="K9" s="34">
        <v>107</v>
      </c>
      <c r="L9" s="5"/>
      <c r="M9" s="35" t="s">
        <v>25</v>
      </c>
      <c r="N9" s="36" t="s">
        <v>30</v>
      </c>
      <c r="O9" s="5"/>
      <c r="P9" s="5"/>
      <c r="Q9" s="5"/>
      <c r="R9" s="5"/>
      <c r="S9" s="5"/>
      <c r="T9" s="5"/>
      <c r="U9" s="5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</row>
    <row r="10" spans="1:80" ht="15" customHeight="1" thickBot="1" x14ac:dyDescent="0.3">
      <c r="A10" s="86"/>
      <c r="B10" s="87"/>
      <c r="C10" s="75"/>
      <c r="D10" s="76"/>
      <c r="E10" s="76"/>
      <c r="F10" s="5"/>
      <c r="G10" s="39"/>
      <c r="H10" s="39" t="s">
        <v>139</v>
      </c>
      <c r="I10" s="5"/>
      <c r="J10" s="74"/>
      <c r="K10" s="74"/>
      <c r="L10" s="5"/>
      <c r="M10" s="73"/>
      <c r="N10" s="73"/>
      <c r="O10" s="5"/>
      <c r="P10" s="5"/>
      <c r="Q10" s="5"/>
      <c r="R10" s="5"/>
      <c r="S10" s="5"/>
      <c r="T10" s="5"/>
      <c r="U10" s="5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</row>
    <row r="11" spans="1:80" ht="26.1" customHeight="1" thickBot="1" x14ac:dyDescent="0.3">
      <c r="A11" s="86"/>
      <c r="B11" s="87"/>
      <c r="C11" s="75"/>
      <c r="D11" s="77" t="s">
        <v>125</v>
      </c>
      <c r="E11" s="78"/>
      <c r="F11" s="5"/>
      <c r="G11" s="5"/>
      <c r="H11" s="5"/>
      <c r="I11" s="5"/>
      <c r="J11" s="66" t="s">
        <v>118</v>
      </c>
      <c r="K11" s="67"/>
      <c r="L11" s="5"/>
      <c r="M11" s="70" t="s">
        <v>127</v>
      </c>
      <c r="N11" s="71"/>
      <c r="O11" s="5"/>
      <c r="P11" s="5"/>
      <c r="Q11" s="5"/>
      <c r="R11" s="5"/>
      <c r="S11" s="5"/>
      <c r="T11" s="5"/>
      <c r="U11" s="5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</row>
    <row r="12" spans="1:80" ht="26.1" customHeight="1" x14ac:dyDescent="0.25">
      <c r="A12" s="86"/>
      <c r="B12" s="87"/>
      <c r="C12" s="75"/>
      <c r="D12" s="79" t="str">
        <f>IFERROR(VLOOKUP(E13,'Dados dos moldes'!$B$2:$C$250,2,FALSE),"")</f>
        <v>Tampa Neo Pen</v>
      </c>
      <c r="E12" s="80"/>
      <c r="F12" s="5"/>
      <c r="G12" s="5"/>
      <c r="H12" s="5"/>
      <c r="I12" s="5"/>
      <c r="J12" s="63" t="str">
        <f>IFERROR(VLOOKUP(K13,'Dados dos moldes'!$B$2:$C$250,2,FALSE),"")</f>
        <v>Corpo Top</v>
      </c>
      <c r="K12" s="64"/>
      <c r="L12" s="5"/>
      <c r="M12" s="68" t="str">
        <f>IFERROR(VLOOKUP(N13,'Dados dos moldes'!$B$2:$C$250,2,FALSE),"")</f>
        <v>Tampinha Q.B / Pincel</v>
      </c>
      <c r="N12" s="69"/>
      <c r="O12" s="5"/>
      <c r="P12" s="5"/>
      <c r="Q12" s="5"/>
      <c r="R12" s="5"/>
      <c r="S12" s="5"/>
      <c r="T12" s="5"/>
      <c r="U12" s="5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</row>
    <row r="13" spans="1:80" ht="26.1" customHeight="1" thickBot="1" x14ac:dyDescent="0.3">
      <c r="A13" s="86"/>
      <c r="B13" s="87"/>
      <c r="C13" s="75"/>
      <c r="D13" s="31" t="s">
        <v>25</v>
      </c>
      <c r="E13" s="32">
        <v>169</v>
      </c>
      <c r="F13" s="5"/>
      <c r="G13" s="5"/>
      <c r="H13" s="5"/>
      <c r="I13" s="5"/>
      <c r="J13" s="33" t="s">
        <v>25</v>
      </c>
      <c r="K13" s="34">
        <v>190</v>
      </c>
      <c r="L13" s="5"/>
      <c r="M13" s="35" t="s">
        <v>25</v>
      </c>
      <c r="N13" s="36" t="s">
        <v>31</v>
      </c>
      <c r="O13" s="5"/>
      <c r="P13" s="5"/>
      <c r="Q13" s="5"/>
      <c r="R13" s="5"/>
      <c r="S13" s="5"/>
      <c r="T13" s="5"/>
      <c r="U13" s="5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</row>
    <row r="14" spans="1:80" ht="15" customHeight="1" thickBot="1" x14ac:dyDescent="0.3">
      <c r="A14" s="86"/>
      <c r="B14" s="87"/>
      <c r="C14" s="75"/>
      <c r="D14" s="76"/>
      <c r="E14" s="76"/>
      <c r="F14" s="5"/>
      <c r="G14" s="5"/>
      <c r="H14" s="5"/>
      <c r="I14" s="5"/>
      <c r="J14" s="74"/>
      <c r="K14" s="74"/>
      <c r="L14" s="5"/>
      <c r="M14" s="73"/>
      <c r="N14" s="73"/>
      <c r="O14" s="5"/>
      <c r="P14" s="5"/>
      <c r="Q14" s="5"/>
      <c r="R14" s="5"/>
      <c r="S14" s="5"/>
      <c r="T14" s="5"/>
      <c r="U14" s="5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</row>
    <row r="15" spans="1:80" ht="26.1" customHeight="1" thickBot="1" x14ac:dyDescent="0.3">
      <c r="A15" s="86"/>
      <c r="B15" s="87"/>
      <c r="C15" s="75"/>
      <c r="D15" s="77" t="s">
        <v>124</v>
      </c>
      <c r="E15" s="78"/>
      <c r="F15" s="5"/>
      <c r="G15" s="5"/>
      <c r="H15" s="5"/>
      <c r="I15" s="5"/>
      <c r="J15" s="66" t="s">
        <v>119</v>
      </c>
      <c r="K15" s="67"/>
      <c r="L15" s="5"/>
      <c r="M15" s="70" t="s">
        <v>128</v>
      </c>
      <c r="N15" s="71"/>
      <c r="O15" s="5"/>
      <c r="P15" s="5"/>
      <c r="Q15" s="5"/>
      <c r="R15" s="5"/>
      <c r="S15" s="5"/>
      <c r="T15" s="5"/>
      <c r="U15" s="5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</row>
    <row r="16" spans="1:80" ht="26.1" customHeight="1" x14ac:dyDescent="0.25">
      <c r="A16" s="86"/>
      <c r="B16" s="87"/>
      <c r="C16" s="75"/>
      <c r="D16" s="79" t="str">
        <f>IFERROR(VLOOKUP(E17,'Dados dos moldes'!$B$2:$C$250,2,FALSE),"")</f>
        <v>Corpo Pincel</v>
      </c>
      <c r="E16" s="80"/>
      <c r="F16" s="5"/>
      <c r="G16" s="5"/>
      <c r="H16" s="5"/>
      <c r="I16" s="5"/>
      <c r="J16" s="63" t="str">
        <f>IFERROR(VLOOKUP(K17,'Dados dos moldes'!$B$2:$C$250,2,FALSE),"")</f>
        <v>Corpo NPG</v>
      </c>
      <c r="K16" s="64"/>
      <c r="L16" s="5"/>
      <c r="M16" s="68" t="str">
        <f>IFERROR(VLOOKUP(N17,'Dados dos moldes'!$B$2:$C$250,2,FALSE),"")</f>
        <v>Tampa Cônica</v>
      </c>
      <c r="N16" s="69"/>
      <c r="O16" s="5"/>
      <c r="P16" s="5"/>
      <c r="Q16" s="5"/>
      <c r="R16" s="5"/>
      <c r="S16" s="5"/>
      <c r="T16" s="5"/>
      <c r="U16" s="5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</row>
    <row r="17" spans="1:80" ht="26.1" customHeight="1" thickBot="1" x14ac:dyDescent="0.3">
      <c r="A17" s="86"/>
      <c r="B17" s="87"/>
      <c r="C17" s="75"/>
      <c r="D17" s="31" t="s">
        <v>25</v>
      </c>
      <c r="E17" s="32">
        <v>191</v>
      </c>
      <c r="F17" s="5"/>
      <c r="G17" s="5"/>
      <c r="H17" s="5"/>
      <c r="I17" s="5"/>
      <c r="J17" s="33" t="s">
        <v>25</v>
      </c>
      <c r="K17" s="34">
        <v>199</v>
      </c>
      <c r="L17" s="5"/>
      <c r="M17" s="35" t="s">
        <v>25</v>
      </c>
      <c r="N17" s="36" t="s">
        <v>29</v>
      </c>
      <c r="O17" s="5"/>
      <c r="P17" s="5"/>
      <c r="Q17" s="5"/>
      <c r="R17" s="5"/>
      <c r="S17" s="5"/>
      <c r="T17" s="5"/>
      <c r="U17" s="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</row>
    <row r="18" spans="1:80" ht="15" customHeight="1" thickBot="1" x14ac:dyDescent="0.3">
      <c r="A18" s="86"/>
      <c r="B18" s="87"/>
      <c r="C18" s="75"/>
      <c r="D18" s="76"/>
      <c r="E18" s="76"/>
      <c r="F18" s="3"/>
      <c r="G18" s="5"/>
      <c r="H18" s="5"/>
      <c r="I18" s="5"/>
      <c r="J18" s="74"/>
      <c r="K18" s="74"/>
      <c r="L18" s="5"/>
      <c r="M18" s="73"/>
      <c r="N18" s="73"/>
      <c r="O18" s="5"/>
      <c r="P18" s="5"/>
      <c r="Q18" s="5"/>
      <c r="R18" s="5"/>
      <c r="S18" s="5"/>
      <c r="T18" s="5"/>
      <c r="U18" s="5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</row>
    <row r="19" spans="1:80" ht="26.1" customHeight="1" thickBot="1" x14ac:dyDescent="0.3">
      <c r="A19" s="86"/>
      <c r="B19" s="87"/>
      <c r="C19" s="75"/>
      <c r="D19" s="77" t="s">
        <v>112</v>
      </c>
      <c r="E19" s="78"/>
      <c r="F19" s="5"/>
      <c r="G19" s="5"/>
      <c r="H19" s="5"/>
      <c r="I19" s="5"/>
      <c r="J19" s="66" t="s">
        <v>120</v>
      </c>
      <c r="K19" s="67"/>
      <c r="L19" s="5"/>
      <c r="M19" s="70" t="s">
        <v>129</v>
      </c>
      <c r="N19" s="71"/>
      <c r="O19" s="5"/>
      <c r="P19" s="5"/>
      <c r="Q19" s="5"/>
      <c r="R19" s="5"/>
      <c r="S19" s="5"/>
      <c r="T19" s="5"/>
      <c r="U19" s="5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</row>
    <row r="20" spans="1:80" ht="26.1" customHeight="1" x14ac:dyDescent="0.25">
      <c r="A20" s="86"/>
      <c r="B20" s="87"/>
      <c r="C20" s="75"/>
      <c r="D20" s="79" t="str">
        <f>IFERROR(VLOOKUP(E21,'Dados dos moldes'!$B$2:$C$250,2,FALSE),"")</f>
        <v>Conexão Esferográficas</v>
      </c>
      <c r="E20" s="80"/>
      <c r="F20" s="5"/>
      <c r="G20" s="5"/>
      <c r="H20" s="5"/>
      <c r="I20" s="5"/>
      <c r="J20" s="63" t="str">
        <f>IFERROR(VLOOKUP(K21,'Dados dos moldes'!$B$2:$C$250,2,FALSE),"")</f>
        <v>Tampa Esf. 07</v>
      </c>
      <c r="K20" s="64"/>
      <c r="L20" s="5"/>
      <c r="M20" s="68" t="str">
        <f>IFERROR(VLOOKUP(N21,'Dados dos moldes'!$B$2:$C$250,2,FALSE),"")</f>
        <v>Tampa Esf. Top</v>
      </c>
      <c r="N20" s="69"/>
      <c r="O20" s="5"/>
      <c r="P20" s="5"/>
      <c r="Q20" s="5"/>
      <c r="R20" s="5"/>
      <c r="S20" s="5"/>
      <c r="T20" s="5"/>
      <c r="U20" s="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</row>
    <row r="21" spans="1:80" ht="26.1" customHeight="1" thickBot="1" x14ac:dyDescent="0.3">
      <c r="A21" s="86"/>
      <c r="B21" s="87"/>
      <c r="C21" s="75"/>
      <c r="D21" s="31" t="s">
        <v>25</v>
      </c>
      <c r="E21" s="32">
        <v>200</v>
      </c>
      <c r="F21" s="5"/>
      <c r="G21" s="5"/>
      <c r="H21" s="5"/>
      <c r="I21" s="5"/>
      <c r="J21" s="33" t="s">
        <v>25</v>
      </c>
      <c r="K21" s="34">
        <v>181</v>
      </c>
      <c r="L21" s="5"/>
      <c r="M21" s="35" t="s">
        <v>25</v>
      </c>
      <c r="N21" s="36">
        <v>139</v>
      </c>
      <c r="O21" s="5"/>
      <c r="P21" s="5"/>
      <c r="Q21" s="5"/>
      <c r="R21" s="5"/>
      <c r="S21" s="5"/>
      <c r="T21" s="5"/>
      <c r="U21" s="5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</row>
    <row r="22" spans="1:80" ht="15" customHeight="1" thickBot="1" x14ac:dyDescent="0.3">
      <c r="A22" s="86"/>
      <c r="B22" s="87"/>
      <c r="C22" s="75"/>
      <c r="D22" s="76"/>
      <c r="E22" s="76"/>
      <c r="F22" s="5"/>
      <c r="G22" s="40"/>
      <c r="H22" s="40"/>
      <c r="I22" s="5"/>
      <c r="J22" s="72"/>
      <c r="K22" s="72"/>
      <c r="L22" s="5"/>
      <c r="M22" s="73"/>
      <c r="N22" s="73"/>
      <c r="O22" s="5"/>
      <c r="P22" s="5"/>
      <c r="Q22" s="5"/>
      <c r="R22" s="5"/>
      <c r="S22" s="5"/>
      <c r="T22" s="5"/>
      <c r="U22" s="5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</row>
    <row r="23" spans="1:80" ht="26.1" customHeight="1" thickBot="1" x14ac:dyDescent="0.3">
      <c r="A23" s="86"/>
      <c r="B23" s="87"/>
      <c r="C23" s="75"/>
      <c r="D23" s="77" t="s">
        <v>113</v>
      </c>
      <c r="E23" s="78"/>
      <c r="F23" s="5"/>
      <c r="G23" s="66" t="s">
        <v>132</v>
      </c>
      <c r="H23" s="67"/>
      <c r="I23" s="5"/>
      <c r="J23" s="70" t="s">
        <v>121</v>
      </c>
      <c r="K23" s="71"/>
      <c r="L23" s="5"/>
      <c r="M23" s="70" t="s">
        <v>130</v>
      </c>
      <c r="N23" s="71"/>
      <c r="O23" s="5"/>
      <c r="P23" s="5"/>
      <c r="Q23" s="5"/>
      <c r="R23" s="5"/>
      <c r="S23" s="5"/>
      <c r="T23" s="5"/>
      <c r="U23" s="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</row>
    <row r="24" spans="1:80" ht="26.1" customHeight="1" x14ac:dyDescent="0.25">
      <c r="A24" s="86"/>
      <c r="B24" s="87"/>
      <c r="C24" s="75"/>
      <c r="D24" s="79" t="str">
        <f>IFERROR(VLOOKUP(E25,'Dados dos moldes'!$B$2:$C$250,2,FALSE),"")</f>
        <v>Tampinha Esferográfica</v>
      </c>
      <c r="E24" s="80"/>
      <c r="F24" s="5"/>
      <c r="G24" s="63" t="str">
        <f>IFERROR(VLOOKUP(H25,'Dados dos moldes'!$B$2:$C$250,2,FALSE),"")</f>
        <v>Corpo 07 / Economic</v>
      </c>
      <c r="H24" s="64"/>
      <c r="I24" s="5"/>
      <c r="J24" s="68" t="str">
        <f>IFERROR(VLOOKUP(K25,'Dados dos moldes'!$B$2:$C$250,2,FALSE),"")</f>
        <v>Tampinha Esferográfica</v>
      </c>
      <c r="K24" s="69"/>
      <c r="L24" s="5"/>
      <c r="M24" s="68" t="str">
        <f>IFERROR(VLOOKUP(N25,'Dados dos moldes'!$B$2:$C$250,2,FALSE),"")</f>
        <v>Tampa Destaq</v>
      </c>
      <c r="N24" s="69"/>
      <c r="O24" s="5"/>
      <c r="P24" s="5"/>
      <c r="Q24" s="5"/>
      <c r="R24" s="5"/>
      <c r="S24" s="5"/>
      <c r="T24" s="5"/>
      <c r="U24" s="5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</row>
    <row r="25" spans="1:80" ht="26.1" customHeight="1" thickBot="1" x14ac:dyDescent="0.3">
      <c r="A25" s="86"/>
      <c r="B25" s="87"/>
      <c r="C25" s="75"/>
      <c r="D25" s="31" t="s">
        <v>25</v>
      </c>
      <c r="E25" s="32">
        <v>201</v>
      </c>
      <c r="F25" s="5"/>
      <c r="G25" s="33" t="s">
        <v>25</v>
      </c>
      <c r="H25" s="34">
        <v>197</v>
      </c>
      <c r="I25" s="5"/>
      <c r="J25" s="35" t="s">
        <v>25</v>
      </c>
      <c r="K25" s="36">
        <v>140</v>
      </c>
      <c r="L25" s="5"/>
      <c r="M25" s="35" t="s">
        <v>25</v>
      </c>
      <c r="N25" s="36">
        <v>162</v>
      </c>
      <c r="O25" s="5"/>
      <c r="P25" s="5"/>
      <c r="Q25" s="5"/>
      <c r="R25" s="5"/>
      <c r="S25" s="5"/>
      <c r="T25" s="5"/>
      <c r="U25" s="5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</row>
    <row r="26" spans="1:80" ht="15" customHeight="1" thickBot="1" x14ac:dyDescent="0.3">
      <c r="A26" s="86"/>
      <c r="B26" s="87"/>
      <c r="C26" s="75"/>
      <c r="D26" s="76"/>
      <c r="E26" s="76"/>
      <c r="F26" s="5"/>
      <c r="G26" s="39"/>
      <c r="H26" s="39"/>
      <c r="I26" s="5"/>
      <c r="J26" s="37"/>
      <c r="K26" s="37"/>
      <c r="L26" s="5"/>
      <c r="M26" s="37"/>
      <c r="N26" s="37"/>
      <c r="O26" s="5"/>
      <c r="P26" s="5"/>
      <c r="Q26" s="5"/>
      <c r="R26" s="5"/>
      <c r="S26" s="5"/>
      <c r="T26" s="5"/>
      <c r="U26" s="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</row>
    <row r="27" spans="1:80" ht="26.1" customHeight="1" thickBot="1" x14ac:dyDescent="0.3">
      <c r="A27" s="86"/>
      <c r="B27" s="87"/>
      <c r="C27" s="75"/>
      <c r="D27" s="77" t="s">
        <v>123</v>
      </c>
      <c r="E27" s="78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</row>
    <row r="28" spans="1:80" ht="26.1" customHeight="1" x14ac:dyDescent="0.25">
      <c r="A28" s="86"/>
      <c r="B28" s="87"/>
      <c r="C28" s="75"/>
      <c r="D28" s="79" t="str">
        <f>IFERROR(VLOOKUP(E29,'Dados dos moldes'!$B$2:$C$250,2,FALSE),"")</f>
        <v>Tampinha Neo Pen</v>
      </c>
      <c r="E28" s="80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43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</row>
    <row r="29" spans="1:80" ht="26.1" customHeight="1" thickBot="1" x14ac:dyDescent="0.3">
      <c r="A29" s="86"/>
      <c r="B29" s="87"/>
      <c r="C29" s="75"/>
      <c r="D29" s="31" t="s">
        <v>25</v>
      </c>
      <c r="E29" s="32">
        <v>101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</row>
    <row r="30" spans="1:80" ht="15" customHeight="1" thickBot="1" x14ac:dyDescent="0.3">
      <c r="A30" s="86"/>
      <c r="B30" s="87"/>
      <c r="C30" s="75"/>
      <c r="D30" s="76"/>
      <c r="E30" s="76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</row>
    <row r="31" spans="1:80" ht="26.1" customHeight="1" thickBot="1" x14ac:dyDescent="0.3">
      <c r="A31" s="86"/>
      <c r="B31" s="87"/>
      <c r="C31" s="75"/>
      <c r="D31" s="77" t="s">
        <v>114</v>
      </c>
      <c r="E31" s="78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</row>
    <row r="32" spans="1:80" ht="26.1" customHeight="1" x14ac:dyDescent="0.25">
      <c r="A32" s="86"/>
      <c r="B32" s="87"/>
      <c r="C32" s="75"/>
      <c r="D32" s="79" t="str">
        <f>IFERROR(VLOOKUP(E33,'Dados dos moldes'!$B$2:$C$250,2,FALSE),"")</f>
        <v>Sem Molde</v>
      </c>
      <c r="E32" s="80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</row>
    <row r="33" spans="1:80" ht="26.1" customHeight="1" thickBot="1" x14ac:dyDescent="0.3">
      <c r="A33" s="86"/>
      <c r="B33" s="87"/>
      <c r="C33" s="75"/>
      <c r="D33" s="31" t="s">
        <v>25</v>
      </c>
      <c r="E33" s="32" t="s">
        <v>109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</row>
    <row r="34" spans="1:80" ht="26.1" customHeight="1" thickBot="1" x14ac:dyDescent="0.3">
      <c r="A34" s="86"/>
      <c r="B34" s="87"/>
      <c r="C34" s="75"/>
      <c r="D34" s="44"/>
      <c r="E34" s="44"/>
      <c r="F34" s="5"/>
      <c r="G34" s="38"/>
      <c r="H34" s="38"/>
      <c r="I34" s="5"/>
      <c r="J34" s="38"/>
      <c r="K34" s="38"/>
      <c r="L34" s="5"/>
      <c r="M34" s="38"/>
      <c r="N34" s="38"/>
      <c r="O34" s="5"/>
      <c r="P34" s="5"/>
      <c r="Q34" s="5"/>
      <c r="R34" s="5"/>
      <c r="S34" s="5"/>
      <c r="T34" s="5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</row>
    <row r="35" spans="1:80" ht="26.1" customHeight="1" thickBot="1" x14ac:dyDescent="0.3">
      <c r="A35" s="86"/>
      <c r="B35" s="87"/>
      <c r="C35" s="75"/>
      <c r="D35" s="5"/>
      <c r="E35" s="5"/>
      <c r="F35" s="5"/>
      <c r="G35" s="70" t="s">
        <v>133</v>
      </c>
      <c r="H35" s="71"/>
      <c r="I35" s="5"/>
      <c r="J35" s="70" t="s">
        <v>134</v>
      </c>
      <c r="K35" s="71"/>
      <c r="L35" s="5"/>
      <c r="M35" s="70" t="s">
        <v>135</v>
      </c>
      <c r="N35" s="71"/>
      <c r="O35" s="5"/>
      <c r="P35" s="77" t="s">
        <v>136</v>
      </c>
      <c r="Q35" s="78"/>
      <c r="R35" s="42"/>
      <c r="S35" s="77" t="s">
        <v>137</v>
      </c>
      <c r="T35" s="78"/>
      <c r="U35" s="4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</row>
    <row r="36" spans="1:80" ht="26.1" customHeight="1" x14ac:dyDescent="0.25">
      <c r="A36" s="86"/>
      <c r="B36" s="87"/>
      <c r="C36" s="75"/>
      <c r="D36" s="5"/>
      <c r="E36" s="5"/>
      <c r="F36" s="5"/>
      <c r="G36" s="68" t="str">
        <f>IFERROR(VLOOKUP(H37,'Dados dos moldes'!$B$2:$C$250,2,FALSE),"")</f>
        <v>Bico de Cola</v>
      </c>
      <c r="H36" s="69"/>
      <c r="I36" s="5"/>
      <c r="J36" s="68" t="str">
        <f>IFERROR(VLOOKUP(K37,'Dados dos moldes'!$B$2:$C$250,2,FALSE),"")</f>
        <v>Tampinha Destaq</v>
      </c>
      <c r="K36" s="69"/>
      <c r="L36" s="5"/>
      <c r="M36" s="68" t="str">
        <f>IFERROR(VLOOKUP(N37,'Dados dos moldes'!$B$2:$C$250,2,FALSE),"")</f>
        <v>Conexão Esferográficas</v>
      </c>
      <c r="N36" s="69"/>
      <c r="O36" s="5"/>
      <c r="P36" s="79" t="str">
        <f>IFERROR(VLOOKUP(Q37,'Dados dos moldes'!$B$2:$C$250,2,FALSE),"")</f>
        <v>Sem Molde</v>
      </c>
      <c r="Q36" s="80"/>
      <c r="R36" s="42"/>
      <c r="S36" s="79" t="str">
        <f>IFERROR(VLOOKUP(T37,'Dados dos moldes'!$B$2:$C$250,2,FALSE),"")</f>
        <v>Sem Molde</v>
      </c>
      <c r="T36" s="80"/>
      <c r="U36" s="4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</row>
    <row r="37" spans="1:80" ht="26.1" customHeight="1" thickBot="1" x14ac:dyDescent="0.3">
      <c r="A37" s="86"/>
      <c r="B37" s="87"/>
      <c r="C37" s="75"/>
      <c r="D37" s="5"/>
      <c r="E37" s="5"/>
      <c r="F37" s="5"/>
      <c r="G37" s="35" t="s">
        <v>25</v>
      </c>
      <c r="H37" s="36" t="s">
        <v>28</v>
      </c>
      <c r="I37" s="5"/>
      <c r="J37" s="35" t="s">
        <v>25</v>
      </c>
      <c r="K37" s="36">
        <v>163</v>
      </c>
      <c r="L37" s="5"/>
      <c r="M37" s="35" t="s">
        <v>25</v>
      </c>
      <c r="N37" s="36">
        <v>168</v>
      </c>
      <c r="O37" s="5"/>
      <c r="P37" s="31" t="s">
        <v>25</v>
      </c>
      <c r="Q37" s="32" t="s">
        <v>109</v>
      </c>
      <c r="R37" s="42"/>
      <c r="S37" s="31" t="s">
        <v>25</v>
      </c>
      <c r="T37" s="32" t="s">
        <v>109</v>
      </c>
      <c r="U37" s="4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</row>
    <row r="38" spans="1:80" ht="29.25" customHeight="1" x14ac:dyDescent="0.25">
      <c r="A38" s="86"/>
      <c r="B38" s="87"/>
      <c r="C38" s="75"/>
      <c r="D38" s="5"/>
      <c r="E38" s="5"/>
      <c r="F38" s="5"/>
      <c r="G38" s="37"/>
      <c r="H38" s="37"/>
      <c r="I38" s="5"/>
      <c r="J38" s="37"/>
      <c r="K38" s="37"/>
      <c r="L38" s="5"/>
      <c r="M38" s="37"/>
      <c r="N38" s="37"/>
      <c r="O38" s="5"/>
      <c r="P38" s="5"/>
      <c r="Q38" s="5"/>
      <c r="R38" s="5"/>
      <c r="S38" s="5"/>
      <c r="T38" s="5"/>
      <c r="U38" s="5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</row>
    <row r="39" spans="1:80" ht="33.75" customHeight="1" x14ac:dyDescent="0.25">
      <c r="A39" s="86"/>
      <c r="B39" s="87"/>
      <c r="C39" s="75"/>
      <c r="D39" s="91" t="s">
        <v>307</v>
      </c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5"/>
      <c r="P39" s="5"/>
      <c r="Q39" s="5"/>
      <c r="R39" s="5"/>
      <c r="S39" s="5"/>
      <c r="T39" s="5"/>
      <c r="U39" s="5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</row>
    <row r="40" spans="1:80" ht="27" customHeight="1" x14ac:dyDescent="0.25">
      <c r="A40" s="86"/>
      <c r="B40" s="87"/>
      <c r="C40" s="75"/>
      <c r="D40" s="61" t="s">
        <v>25</v>
      </c>
      <c r="E40" s="81" t="s">
        <v>46</v>
      </c>
      <c r="F40" s="81"/>
      <c r="G40" s="81"/>
      <c r="H40" s="81"/>
      <c r="I40" s="81"/>
      <c r="J40" s="81" t="s">
        <v>146</v>
      </c>
      <c r="K40" s="81"/>
      <c r="L40" s="81"/>
      <c r="M40" s="81"/>
      <c r="N40" s="81"/>
      <c r="O40" s="5"/>
      <c r="P40" s="5"/>
      <c r="Q40" s="5"/>
      <c r="R40" s="5"/>
      <c r="S40" s="5"/>
      <c r="T40" s="5"/>
      <c r="U40" s="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</row>
    <row r="41" spans="1:80" ht="33.75" customHeight="1" x14ac:dyDescent="0.25">
      <c r="A41" s="86"/>
      <c r="B41" s="87"/>
      <c r="C41" s="75"/>
      <c r="D41" s="58"/>
      <c r="E41" s="82" t="str">
        <f>IFERROR(VLOOKUP(D41,'Dados dos moldes'!E3:F150,2,FALSE),"")</f>
        <v/>
      </c>
      <c r="F41" s="82"/>
      <c r="G41" s="82"/>
      <c r="H41" s="82"/>
      <c r="I41" s="82"/>
      <c r="J41" s="90" t="str">
        <f>IFERROR(VLOOKUP(D41,'Dados dos moldes'!E3:H150,4,FALSE),"")</f>
        <v/>
      </c>
      <c r="K41" s="90"/>
      <c r="L41" s="92" t="str">
        <f>IFERROR(VLOOKUP(D41,'Dados dos moldes'!E3:I150,5,FALSE),"")</f>
        <v/>
      </c>
      <c r="M41" s="93"/>
      <c r="N41" s="94"/>
      <c r="O41" s="62"/>
      <c r="P41" s="5"/>
      <c r="Q41" s="5"/>
      <c r="R41" s="5"/>
      <c r="S41" s="5"/>
      <c r="T41" s="5"/>
      <c r="U41" s="5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</row>
    <row r="42" spans="1:80" ht="31.5" customHeight="1" thickBot="1" x14ac:dyDescent="0.4">
      <c r="A42" s="86"/>
      <c r="B42" s="87"/>
      <c r="C42" s="84" t="s">
        <v>140</v>
      </c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</row>
    <row r="43" spans="1:8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</row>
    <row r="44" spans="1:8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</row>
    <row r="45" spans="1:8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</row>
    <row r="46" spans="1:8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</row>
    <row r="47" spans="1:8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</row>
    <row r="48" spans="1:8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</row>
    <row r="49" spans="1:8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</row>
    <row r="50" spans="1:8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</row>
    <row r="51" spans="1:8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</row>
    <row r="52" spans="1:8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</row>
    <row r="53" spans="1:8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</row>
    <row r="54" spans="1:8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</row>
    <row r="55" spans="1:8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</row>
    <row r="56" spans="1:8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</row>
    <row r="57" spans="1:8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</row>
    <row r="58" spans="1:8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</row>
    <row r="59" spans="1:8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</row>
    <row r="60" spans="1:8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</row>
    <row r="61" spans="1:8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</row>
    <row r="62" spans="1:8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</row>
    <row r="63" spans="1:8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</row>
    <row r="64" spans="1:8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</row>
    <row r="65" spans="1:8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</row>
    <row r="66" spans="1:8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</row>
    <row r="67" spans="1:8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</row>
    <row r="68" spans="1:8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</row>
    <row r="69" spans="1:8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</row>
    <row r="70" spans="1:8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</row>
    <row r="71" spans="1:8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</row>
    <row r="72" spans="1:8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</row>
    <row r="73" spans="1:8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</row>
    <row r="74" spans="1:8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</row>
    <row r="75" spans="1:8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</row>
    <row r="76" spans="1:8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</row>
    <row r="77" spans="1:8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</row>
    <row r="78" spans="1:8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</row>
    <row r="79" spans="1:8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</row>
    <row r="80" spans="1:8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</row>
    <row r="81" spans="1:8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</row>
    <row r="82" spans="1:8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</row>
    <row r="83" spans="1:8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</row>
    <row r="84" spans="1:8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</row>
    <row r="85" spans="1:8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</row>
    <row r="86" spans="1:8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</row>
    <row r="87" spans="1:8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</row>
    <row r="88" spans="1:8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</row>
    <row r="89" spans="1:8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</row>
    <row r="90" spans="1:8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</row>
    <row r="91" spans="1:8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</row>
    <row r="92" spans="1:8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</row>
    <row r="93" spans="1:8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</row>
    <row r="94" spans="1:8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</row>
    <row r="95" spans="1:8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</row>
    <row r="96" spans="1:8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</row>
    <row r="97" spans="1:8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</row>
    <row r="98" spans="1:8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</row>
    <row r="99" spans="1:8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</row>
    <row r="100" spans="1:8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</row>
    <row r="101" spans="1:8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</row>
    <row r="102" spans="1:8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</row>
    <row r="103" spans="1:8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</row>
    <row r="104" spans="1:8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</row>
    <row r="105" spans="1:8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</row>
    <row r="106" spans="1:8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</row>
    <row r="107" spans="1:8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</row>
    <row r="108" spans="1:8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</row>
    <row r="109" spans="1:8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</row>
    <row r="110" spans="1:8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</row>
    <row r="111" spans="1:8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</row>
    <row r="112" spans="1:8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</row>
    <row r="113" spans="1:8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</row>
    <row r="114" spans="1:8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</row>
    <row r="115" spans="1:8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</row>
    <row r="116" spans="1:8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</row>
    <row r="117" spans="1:8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</row>
    <row r="118" spans="1:8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</row>
    <row r="119" spans="1:8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</row>
    <row r="120" spans="1:8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</row>
    <row r="121" spans="1:8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</row>
    <row r="122" spans="1:8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</row>
    <row r="123" spans="1:8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</row>
    <row r="124" spans="1:8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</row>
    <row r="125" spans="1:8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</row>
    <row r="126" spans="1:8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</row>
    <row r="127" spans="1:8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</row>
    <row r="128" spans="1:8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</row>
    <row r="129" spans="1:8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</row>
    <row r="130" spans="1:8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</row>
    <row r="131" spans="1:8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</row>
    <row r="132" spans="1:8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</row>
    <row r="133" spans="1:8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</row>
    <row r="134" spans="1:8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</row>
    <row r="135" spans="1:8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</row>
    <row r="136" spans="1:8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</row>
    <row r="137" spans="1:8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</row>
    <row r="138" spans="1:8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</row>
    <row r="139" spans="1:8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</row>
    <row r="140" spans="1:8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</row>
    <row r="141" spans="1:8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</row>
    <row r="142" spans="1:8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</row>
    <row r="143" spans="1:8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</row>
    <row r="144" spans="1:8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</row>
    <row r="145" spans="1:8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</row>
    <row r="146" spans="1:8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</row>
    <row r="147" spans="1:8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</row>
    <row r="148" spans="1:8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</row>
    <row r="149" spans="1:8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</row>
    <row r="150" spans="1:80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</row>
    <row r="151" spans="1:80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</row>
    <row r="152" spans="1:80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</row>
    <row r="153" spans="1:80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</row>
    <row r="154" spans="1:80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</row>
    <row r="155" spans="1:80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</row>
    <row r="156" spans="1:80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</row>
    <row r="157" spans="1:80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</row>
    <row r="158" spans="1:8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</row>
    <row r="159" spans="1:80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</row>
    <row r="160" spans="1:80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</row>
    <row r="161" spans="1:80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</row>
    <row r="162" spans="1:80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</row>
    <row r="163" spans="1:80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</row>
    <row r="164" spans="1:80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</row>
    <row r="165" spans="1:80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</row>
    <row r="166" spans="1:80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</row>
    <row r="167" spans="1:8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</row>
    <row r="168" spans="1:8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</row>
    <row r="169" spans="1:80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</row>
    <row r="170" spans="1:8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</row>
    <row r="171" spans="1:8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</row>
    <row r="172" spans="1:8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</row>
    <row r="173" spans="1:8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</row>
    <row r="174" spans="1:8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</row>
    <row r="175" spans="1:8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</row>
    <row r="176" spans="1:8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</row>
    <row r="177" spans="1:8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</row>
    <row r="178" spans="1:8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</row>
    <row r="179" spans="1:8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</row>
    <row r="180" spans="1:8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</row>
    <row r="181" spans="1:8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</row>
    <row r="182" spans="1:8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</row>
    <row r="183" spans="1:8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</row>
    <row r="184" spans="1:80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</row>
    <row r="185" spans="1:80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</row>
    <row r="186" spans="1:80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</row>
    <row r="187" spans="1:80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</row>
    <row r="188" spans="1:80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</row>
    <row r="189" spans="1:8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</row>
    <row r="190" spans="1:8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</row>
    <row r="191" spans="1:8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</row>
    <row r="192" spans="1:80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</row>
    <row r="193" spans="1:80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</row>
    <row r="194" spans="1:80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</row>
    <row r="195" spans="1:80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</row>
    <row r="196" spans="1:80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</row>
    <row r="197" spans="1:8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</row>
    <row r="198" spans="1:80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</row>
    <row r="199" spans="1:80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</row>
    <row r="200" spans="1:80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</row>
    <row r="201" spans="1:80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</row>
    <row r="202" spans="1:80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</row>
    <row r="203" spans="1:80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</row>
    <row r="204" spans="1:80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</row>
    <row r="205" spans="1:80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</row>
    <row r="206" spans="1:80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</row>
    <row r="207" spans="1:80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</row>
    <row r="208" spans="1:80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</row>
    <row r="209" spans="1:80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</row>
    <row r="210" spans="1:80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</row>
    <row r="211" spans="1:80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</row>
    <row r="212" spans="1:80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</row>
    <row r="213" spans="1:80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</row>
    <row r="214" spans="1:80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</row>
    <row r="215" spans="1:80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</row>
    <row r="216" spans="1:80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</row>
    <row r="217" spans="1:80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</row>
    <row r="218" spans="1:80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</row>
    <row r="219" spans="1:80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</row>
    <row r="220" spans="1:80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</row>
    <row r="221" spans="1:80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</row>
    <row r="222" spans="1:80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</row>
    <row r="223" spans="1:80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</row>
    <row r="224" spans="1:80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</row>
    <row r="225" spans="1:80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</row>
    <row r="226" spans="1:80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</row>
    <row r="227" spans="1:80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</row>
    <row r="228" spans="1:80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</row>
    <row r="229" spans="1:80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</row>
    <row r="230" spans="1:80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</row>
    <row r="231" spans="1:80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</row>
    <row r="232" spans="1:80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</row>
    <row r="233" spans="1:80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</row>
    <row r="234" spans="1:80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</row>
    <row r="235" spans="1:80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</row>
    <row r="236" spans="1:80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</row>
    <row r="237" spans="1:80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</row>
    <row r="238" spans="1:80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</row>
    <row r="239" spans="1:80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</row>
    <row r="240" spans="1:80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</row>
    <row r="241" spans="1:80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</row>
    <row r="242" spans="1:80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</row>
    <row r="243" spans="1:80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</row>
    <row r="244" spans="1:80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</row>
    <row r="245" spans="1:80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</row>
    <row r="246" spans="1:80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</row>
    <row r="247" spans="1:80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</row>
    <row r="248" spans="1:80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</row>
    <row r="249" spans="1:80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</row>
    <row r="250" spans="1:80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</row>
    <row r="251" spans="1:80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</row>
    <row r="252" spans="1:80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</row>
    <row r="253" spans="1:80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</row>
    <row r="254" spans="1:80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</row>
    <row r="255" spans="1:80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</row>
    <row r="256" spans="1:80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</row>
    <row r="257" spans="1:80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</row>
    <row r="258" spans="1:80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</row>
    <row r="259" spans="1:80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</row>
    <row r="260" spans="1:80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</row>
    <row r="261" spans="1:80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</row>
    <row r="262" spans="1:80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</row>
    <row r="263" spans="1:80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</row>
    <row r="264" spans="1:80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</row>
    <row r="265" spans="1:80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</row>
    <row r="266" spans="1:80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</row>
    <row r="267" spans="1:80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</row>
    <row r="268" spans="1:80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</row>
    <row r="269" spans="1:80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</row>
    <row r="270" spans="1:80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</row>
    <row r="271" spans="1:80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</row>
    <row r="272" spans="1:80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</row>
    <row r="273" spans="1:80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</row>
    <row r="274" spans="1:80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</row>
    <row r="275" spans="1:80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</row>
    <row r="276" spans="1:80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</row>
    <row r="277" spans="1:80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</row>
    <row r="278" spans="1:80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</row>
    <row r="279" spans="1:80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</row>
    <row r="280" spans="1:80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</row>
    <row r="281" spans="1:80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</row>
    <row r="282" spans="1:80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</row>
    <row r="283" spans="1:80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</row>
    <row r="284" spans="1:80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</row>
    <row r="285" spans="1:80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</row>
    <row r="286" spans="1:80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</row>
    <row r="287" spans="1:80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</row>
    <row r="288" spans="1:80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</row>
  </sheetData>
  <sheetProtection formatCells="0" insertHyperlinks="0" selectLockedCells="1" selectUnlockedCells="1"/>
  <mergeCells count="81">
    <mergeCell ref="J41:K41"/>
    <mergeCell ref="G35:H35"/>
    <mergeCell ref="G36:H36"/>
    <mergeCell ref="D39:N39"/>
    <mergeCell ref="J40:N40"/>
    <mergeCell ref="L41:N41"/>
    <mergeCell ref="C42:U42"/>
    <mergeCell ref="A1:B42"/>
    <mergeCell ref="C1:U1"/>
    <mergeCell ref="D3:E3"/>
    <mergeCell ref="D4:E4"/>
    <mergeCell ref="D7:E7"/>
    <mergeCell ref="D8:E8"/>
    <mergeCell ref="D11:E11"/>
    <mergeCell ref="D12:E12"/>
    <mergeCell ref="D15:E15"/>
    <mergeCell ref="D16:E16"/>
    <mergeCell ref="D19:E19"/>
    <mergeCell ref="D20:E20"/>
    <mergeCell ref="D23:E23"/>
    <mergeCell ref="J24:K24"/>
    <mergeCell ref="M12:N12"/>
    <mergeCell ref="M3:N3"/>
    <mergeCell ref="M4:N4"/>
    <mergeCell ref="J3:K3"/>
    <mergeCell ref="J4:K4"/>
    <mergeCell ref="J7:K7"/>
    <mergeCell ref="M7:N7"/>
    <mergeCell ref="J6:K6"/>
    <mergeCell ref="M6:N6"/>
    <mergeCell ref="S35:T35"/>
    <mergeCell ref="P36:Q36"/>
    <mergeCell ref="S36:T36"/>
    <mergeCell ref="J35:K35"/>
    <mergeCell ref="M35:N35"/>
    <mergeCell ref="P35:Q35"/>
    <mergeCell ref="M36:N36"/>
    <mergeCell ref="J36:K36"/>
    <mergeCell ref="C2:C41"/>
    <mergeCell ref="D18:E18"/>
    <mergeCell ref="D14:E14"/>
    <mergeCell ref="D10:E10"/>
    <mergeCell ref="D6:E6"/>
    <mergeCell ref="D31:E31"/>
    <mergeCell ref="D32:E32"/>
    <mergeCell ref="D30:E30"/>
    <mergeCell ref="D24:E24"/>
    <mergeCell ref="D27:E27"/>
    <mergeCell ref="D28:E28"/>
    <mergeCell ref="D26:E26"/>
    <mergeCell ref="D22:E22"/>
    <mergeCell ref="E40:I40"/>
    <mergeCell ref="E41:I41"/>
    <mergeCell ref="G7:H7"/>
    <mergeCell ref="M18:N18"/>
    <mergeCell ref="J12:K12"/>
    <mergeCell ref="J15:K15"/>
    <mergeCell ref="J16:K16"/>
    <mergeCell ref="M10:N10"/>
    <mergeCell ref="J10:K10"/>
    <mergeCell ref="J14:K14"/>
    <mergeCell ref="J18:K18"/>
    <mergeCell ref="M15:N15"/>
    <mergeCell ref="M16:N16"/>
    <mergeCell ref="M14:N14"/>
    <mergeCell ref="G24:H24"/>
    <mergeCell ref="G8:H8"/>
    <mergeCell ref="G23:H23"/>
    <mergeCell ref="M24:N24"/>
    <mergeCell ref="J8:K8"/>
    <mergeCell ref="J11:K11"/>
    <mergeCell ref="M8:N8"/>
    <mergeCell ref="M11:N11"/>
    <mergeCell ref="M23:N23"/>
    <mergeCell ref="J22:K22"/>
    <mergeCell ref="M22:N22"/>
    <mergeCell ref="J23:K23"/>
    <mergeCell ref="J19:K19"/>
    <mergeCell ref="J20:K20"/>
    <mergeCell ref="M19:N19"/>
    <mergeCell ref="M20:N20"/>
  </mergeCells>
  <conditionalFormatting sqref="C42:U42">
    <cfRule type="cellIs" dxfId="27" priority="37" operator="equal">
      <formula>"ABS"</formula>
    </cfRule>
  </conditionalFormatting>
  <conditionalFormatting sqref="J41">
    <cfRule type="cellIs" dxfId="26" priority="26" operator="equal">
      <formula>"PEBD (INJEÇÃO)"</formula>
    </cfRule>
    <cfRule type="cellIs" dxfId="25" priority="27" operator="equal">
      <formula>"PEAD80% + PEBD20% (SOPRO)"</formula>
    </cfRule>
    <cfRule type="cellIs" dxfId="24" priority="28" operator="equal">
      <formula>"PEAD (SOPRO)"</formula>
    </cfRule>
    <cfRule type="cellIs" dxfId="23" priority="38" operator="equal">
      <formula>"PEAD 20% + PEBD 80%"</formula>
    </cfRule>
    <cfRule type="cellIs" dxfId="22" priority="36" operator="equal">
      <formula>"ABS"</formula>
    </cfRule>
    <cfRule type="cellIs" dxfId="21" priority="35" operator="equal">
      <formula>"PP400"</formula>
    </cfRule>
    <cfRule type="cellIs" dxfId="20" priority="34" operator="equal">
      <formula>"PP FT120"</formula>
    </cfRule>
    <cfRule type="cellIs" dxfId="19" priority="33" operator="equal">
      <formula>"POLICABORNATO"</formula>
    </cfRule>
    <cfRule type="cellIs" dxfId="18" priority="32" operator="equal">
      <formula>"PS-CRISTAL"</formula>
    </cfRule>
    <cfRule type="cellIs" dxfId="17" priority="31" operator="equal">
      <formula>"SANTOPRENE"</formula>
    </cfRule>
    <cfRule type="cellIs" dxfId="16" priority="30" operator="equal">
      <formula>"POLIACETAL"</formula>
    </cfRule>
    <cfRule type="cellIs" dxfId="15" priority="29" operator="equal">
      <formula>"TPE"</formula>
    </cfRule>
  </conditionalFormatting>
  <conditionalFormatting sqref="L41">
    <cfRule type="cellIs" dxfId="14" priority="1" operator="equal">
      <formula>"PEBD (INJEÇÃO)"</formula>
    </cfRule>
    <cfRule type="cellIs" dxfId="13" priority="2" operator="equal">
      <formula>"PEAD80% + PEBD20% (SOPRO)"</formula>
    </cfRule>
    <cfRule type="cellIs" dxfId="12" priority="3" operator="equal">
      <formula>"PEAD (SOPRO)"</formula>
    </cfRule>
    <cfRule type="cellIs" dxfId="11" priority="4" operator="equal">
      <formula>"TPE"</formula>
    </cfRule>
    <cfRule type="cellIs" dxfId="10" priority="5" operator="equal">
      <formula>"POLIACETAL"</formula>
    </cfRule>
    <cfRule type="cellIs" dxfId="9" priority="6" operator="equal">
      <formula>"SANTOPRENE"</formula>
    </cfRule>
    <cfRule type="cellIs" dxfId="8" priority="7" operator="equal">
      <formula>POLIESTIRENO</formula>
    </cfRule>
    <cfRule type="cellIs" dxfId="7" priority="8" operator="equal">
      <formula>"POLICABORNATO"</formula>
    </cfRule>
    <cfRule type="cellIs" dxfId="6" priority="10" operator="equal">
      <formula>"POLIPROPILENO"</formula>
    </cfRule>
    <cfRule type="cellIs" dxfId="5" priority="11" operator="equal">
      <formula>"ABS"</formula>
    </cfRule>
    <cfRule type="cellIs" dxfId="4" priority="12" operator="equal">
      <formula>"PEAD 20% + PEBD 80%"</formula>
    </cfRule>
  </conditionalFormatting>
  <pageMargins left="0.70866141732283472" right="0.70866141732283472" top="0.74803149606299213" bottom="0.74803149606299213" header="0.31496062992125984" footer="0.31496062992125984"/>
  <pageSetup paperSize="9" scale="33" orientation="landscape" horizontalDpi="4294967293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" operator="containsText" id="{AEBF6699-7C6C-496E-A666-DAB5DD538F25}">
            <xm:f>NOT(ISERROR(SEARCH("POLIPROPILENO",L41)))</xm:f>
            <xm:f>"POLIPROPILENO"</xm:f>
            <x14:dxf>
              <font>
                <b/>
                <i val="0"/>
                <color theme="0"/>
              </font>
              <fill>
                <patternFill>
                  <bgColor theme="6" tint="-0.24994659260841701"/>
                </patternFill>
              </fill>
            </x14:dxf>
          </x14:cfRule>
          <xm:sqref>L41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>
    <tabColor rgb="FF00B050"/>
    <pageSetUpPr fitToPage="1"/>
  </sheetPr>
  <dimension ref="A1:CN300"/>
  <sheetViews>
    <sheetView showGridLines="0" showRowColHeaders="0" zoomScale="50" zoomScaleNormal="50" zoomScaleSheetLayoutView="25" workbookViewId="0">
      <selection sqref="A1:B54"/>
    </sheetView>
  </sheetViews>
  <sheetFormatPr defaultRowHeight="15" x14ac:dyDescent="0.25"/>
  <cols>
    <col min="2" max="2" width="36.140625" customWidth="1"/>
    <col min="3" max="3" width="13.7109375" customWidth="1"/>
    <col min="24" max="24" width="14.28515625" customWidth="1"/>
    <col min="32" max="32" width="11.7109375" customWidth="1"/>
    <col min="33" max="33" width="35.42578125" customWidth="1"/>
  </cols>
  <sheetData>
    <row r="1" spans="1:92" ht="88.5" customHeight="1" x14ac:dyDescent="0.35">
      <c r="A1" s="86"/>
      <c r="B1" s="87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3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</row>
    <row r="2" spans="1:92" ht="15" customHeight="1" x14ac:dyDescent="0.35">
      <c r="A2" s="86"/>
      <c r="B2" s="87"/>
      <c r="C2" s="11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</row>
    <row r="3" spans="1:92" ht="15" customHeight="1" x14ac:dyDescent="0.35">
      <c r="A3" s="86"/>
      <c r="B3" s="87"/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3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</row>
    <row r="4" spans="1:92" ht="35.25" customHeight="1" x14ac:dyDescent="0.35">
      <c r="A4" s="86"/>
      <c r="B4" s="87"/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3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</row>
    <row r="5" spans="1:92" ht="15" customHeight="1" x14ac:dyDescent="0.35">
      <c r="A5" s="86"/>
      <c r="B5" s="87"/>
      <c r="C5" s="11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3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</row>
    <row r="6" spans="1:92" ht="15" customHeight="1" x14ac:dyDescent="0.35">
      <c r="A6" s="86"/>
      <c r="B6" s="87"/>
      <c r="C6" s="11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3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</row>
    <row r="7" spans="1:92" ht="15" customHeight="1" x14ac:dyDescent="0.35">
      <c r="A7" s="86"/>
      <c r="B7" s="87"/>
      <c r="C7" s="11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3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</row>
    <row r="8" spans="1:92" ht="15" customHeight="1" x14ac:dyDescent="0.35">
      <c r="A8" s="86"/>
      <c r="B8" s="87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3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</row>
    <row r="9" spans="1:92" ht="15" customHeight="1" x14ac:dyDescent="0.35">
      <c r="A9" s="86"/>
      <c r="B9" s="87"/>
      <c r="C9" s="11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3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</row>
    <row r="10" spans="1:92" ht="15" customHeight="1" x14ac:dyDescent="0.35">
      <c r="A10" s="86"/>
      <c r="B10" s="87"/>
      <c r="C10" s="11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3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</row>
    <row r="11" spans="1:92" ht="15" customHeight="1" x14ac:dyDescent="0.35">
      <c r="A11" s="86"/>
      <c r="B11" s="87"/>
      <c r="C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3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</row>
    <row r="12" spans="1:92" ht="15" customHeight="1" x14ac:dyDescent="0.35">
      <c r="A12" s="86"/>
      <c r="B12" s="87"/>
      <c r="C12" s="1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3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</row>
    <row r="13" spans="1:92" ht="15" customHeight="1" x14ac:dyDescent="0.35">
      <c r="A13" s="86"/>
      <c r="B13" s="87"/>
      <c r="C13" s="1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3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</row>
    <row r="14" spans="1:92" ht="15" customHeight="1" x14ac:dyDescent="0.35">
      <c r="A14" s="86"/>
      <c r="B14" s="87"/>
      <c r="C14" s="11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3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</row>
    <row r="15" spans="1:92" ht="15" customHeight="1" x14ac:dyDescent="0.35">
      <c r="A15" s="86"/>
      <c r="B15" s="87"/>
      <c r="C15" s="1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3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</row>
    <row r="16" spans="1:92" ht="15" customHeight="1" x14ac:dyDescent="0.35">
      <c r="A16" s="86"/>
      <c r="B16" s="87"/>
      <c r="C16" s="1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3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</row>
    <row r="17" spans="1:92" ht="15" customHeight="1" x14ac:dyDescent="0.35">
      <c r="A17" s="86"/>
      <c r="B17" s="87"/>
      <c r="C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3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</row>
    <row r="18" spans="1:92" ht="15" customHeight="1" x14ac:dyDescent="0.35">
      <c r="A18" s="86"/>
      <c r="B18" s="87"/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3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</row>
    <row r="19" spans="1:92" ht="15" customHeight="1" x14ac:dyDescent="0.35">
      <c r="A19" s="86"/>
      <c r="B19" s="87"/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3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</row>
    <row r="20" spans="1:92" ht="15" customHeight="1" x14ac:dyDescent="0.35">
      <c r="A20" s="86"/>
      <c r="B20" s="87"/>
      <c r="C20" s="11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3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</row>
    <row r="21" spans="1:92" ht="15" customHeight="1" x14ac:dyDescent="0.35">
      <c r="A21" s="86"/>
      <c r="B21" s="87"/>
      <c r="C21" s="11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3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</row>
    <row r="22" spans="1:92" ht="15" customHeight="1" x14ac:dyDescent="0.35">
      <c r="A22" s="86"/>
      <c r="B22" s="87"/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3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</row>
    <row r="23" spans="1:92" ht="15" customHeight="1" x14ac:dyDescent="0.35">
      <c r="A23" s="86"/>
      <c r="B23" s="87"/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3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</row>
    <row r="24" spans="1:92" ht="15" customHeight="1" x14ac:dyDescent="0.35">
      <c r="A24" s="86"/>
      <c r="B24" s="87"/>
      <c r="C24" s="1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3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</row>
    <row r="25" spans="1:92" ht="15" customHeight="1" x14ac:dyDescent="0.35">
      <c r="A25" s="86"/>
      <c r="B25" s="87"/>
      <c r="C25" s="1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3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</row>
    <row r="26" spans="1:92" ht="15" customHeight="1" x14ac:dyDescent="0.35">
      <c r="A26" s="86"/>
      <c r="B26" s="87"/>
      <c r="C26" s="1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3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</row>
    <row r="27" spans="1:92" ht="15" customHeight="1" x14ac:dyDescent="0.35">
      <c r="A27" s="86"/>
      <c r="B27" s="87"/>
      <c r="C27" s="11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3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</row>
    <row r="28" spans="1:92" ht="15" customHeight="1" x14ac:dyDescent="0.35">
      <c r="A28" s="86"/>
      <c r="B28" s="87"/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3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</row>
    <row r="29" spans="1:92" ht="15" customHeight="1" x14ac:dyDescent="0.35">
      <c r="A29" s="86"/>
      <c r="B29" s="87"/>
      <c r="C29" s="11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3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</row>
    <row r="30" spans="1:92" ht="15" customHeight="1" x14ac:dyDescent="0.35">
      <c r="A30" s="86"/>
      <c r="B30" s="87"/>
      <c r="C30" s="11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3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</row>
    <row r="31" spans="1:92" ht="15" customHeight="1" x14ac:dyDescent="0.35">
      <c r="A31" s="86"/>
      <c r="B31" s="87"/>
      <c r="C31" s="11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3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</row>
    <row r="32" spans="1:92" ht="15" customHeight="1" x14ac:dyDescent="0.35">
      <c r="A32" s="86"/>
      <c r="B32" s="87"/>
      <c r="C32" s="11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3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</row>
    <row r="33" spans="1:92" ht="15" customHeight="1" x14ac:dyDescent="0.35">
      <c r="A33" s="86"/>
      <c r="B33" s="87"/>
      <c r="C33" s="11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3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</row>
    <row r="34" spans="1:92" ht="15" customHeight="1" x14ac:dyDescent="0.35">
      <c r="A34" s="86"/>
      <c r="B34" s="87"/>
      <c r="C34" s="11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3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</row>
    <row r="35" spans="1:92" ht="15" customHeight="1" x14ac:dyDescent="0.35">
      <c r="A35" s="86"/>
      <c r="B35" s="87"/>
      <c r="C35" s="11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3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</row>
    <row r="36" spans="1:92" ht="15" customHeight="1" x14ac:dyDescent="0.35">
      <c r="A36" s="86"/>
      <c r="B36" s="87"/>
      <c r="C36" s="11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3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</row>
    <row r="37" spans="1:92" ht="15" customHeight="1" x14ac:dyDescent="0.35">
      <c r="A37" s="86"/>
      <c r="B37" s="87"/>
      <c r="C37" s="11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3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</row>
    <row r="38" spans="1:92" ht="15" customHeight="1" x14ac:dyDescent="0.35">
      <c r="A38" s="86"/>
      <c r="B38" s="87"/>
      <c r="C38" s="11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3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</row>
    <row r="39" spans="1:92" ht="15" customHeight="1" x14ac:dyDescent="0.35">
      <c r="A39" s="86"/>
      <c r="B39" s="87"/>
      <c r="C39" s="11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3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</row>
    <row r="40" spans="1:92" ht="15" customHeight="1" x14ac:dyDescent="0.35">
      <c r="A40" s="86"/>
      <c r="B40" s="87"/>
      <c r="C40" s="11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3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</row>
    <row r="41" spans="1:92" ht="15" customHeight="1" x14ac:dyDescent="0.35">
      <c r="A41" s="86"/>
      <c r="B41" s="87"/>
      <c r="C41" s="11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3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</row>
    <row r="42" spans="1:92" ht="15" customHeight="1" x14ac:dyDescent="0.35">
      <c r="A42" s="86"/>
      <c r="B42" s="87"/>
      <c r="C42" s="11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3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</row>
    <row r="43" spans="1:92" ht="15" customHeight="1" x14ac:dyDescent="0.35">
      <c r="A43" s="86"/>
      <c r="B43" s="87"/>
      <c r="C43" s="11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3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</row>
    <row r="44" spans="1:92" ht="15" customHeight="1" x14ac:dyDescent="0.35">
      <c r="A44" s="86"/>
      <c r="B44" s="87"/>
      <c r="C44" s="11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3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</row>
    <row r="45" spans="1:92" ht="15" customHeight="1" x14ac:dyDescent="0.35">
      <c r="A45" s="86"/>
      <c r="B45" s="87"/>
      <c r="C45" s="11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3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</row>
    <row r="46" spans="1:92" ht="15" customHeight="1" x14ac:dyDescent="0.35">
      <c r="A46" s="86"/>
      <c r="B46" s="87"/>
      <c r="C46" s="11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3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</row>
    <row r="47" spans="1:92" ht="15" customHeight="1" x14ac:dyDescent="0.35">
      <c r="A47" s="86"/>
      <c r="B47" s="87"/>
      <c r="C47" s="11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3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</row>
    <row r="48" spans="1:92" ht="15" customHeight="1" x14ac:dyDescent="0.35">
      <c r="A48" s="86"/>
      <c r="B48" s="87"/>
      <c r="C48" s="11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3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</row>
    <row r="49" spans="1:92" ht="15" customHeight="1" x14ac:dyDescent="0.35">
      <c r="A49" s="86"/>
      <c r="B49" s="87"/>
      <c r="C49" s="11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3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</row>
    <row r="50" spans="1:92" ht="15" customHeight="1" x14ac:dyDescent="0.35">
      <c r="A50" s="86"/>
      <c r="B50" s="87"/>
      <c r="C50" s="11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3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</row>
    <row r="51" spans="1:92" ht="15" customHeight="1" x14ac:dyDescent="0.35">
      <c r="A51" s="86"/>
      <c r="B51" s="87"/>
      <c r="C51" s="11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3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</row>
    <row r="52" spans="1:92" ht="15" customHeight="1" x14ac:dyDescent="0.35">
      <c r="A52" s="86"/>
      <c r="B52" s="87"/>
      <c r="C52" s="11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3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</row>
    <row r="53" spans="1:92" ht="15" customHeight="1" x14ac:dyDescent="0.35">
      <c r="A53" s="86"/>
      <c r="B53" s="87"/>
      <c r="C53" s="11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3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</row>
    <row r="54" spans="1:92" ht="54.75" customHeight="1" thickBot="1" x14ac:dyDescent="0.4">
      <c r="A54" s="86"/>
      <c r="B54" s="87"/>
      <c r="C54" s="84" t="s">
        <v>1</v>
      </c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95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</row>
    <row r="55" spans="1:9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</row>
    <row r="56" spans="1:9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</row>
    <row r="57" spans="1:9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</row>
    <row r="58" spans="1:9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</row>
    <row r="59" spans="1:9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</row>
    <row r="60" spans="1:9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</row>
    <row r="61" spans="1:9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</row>
    <row r="62" spans="1:9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</row>
    <row r="63" spans="1:9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</row>
    <row r="64" spans="1:9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</row>
    <row r="65" spans="1:9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</row>
    <row r="66" spans="1:9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</row>
    <row r="67" spans="1:9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</row>
    <row r="68" spans="1:9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</row>
    <row r="69" spans="1:9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</row>
    <row r="70" spans="1:9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</row>
    <row r="71" spans="1:9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</row>
    <row r="72" spans="1:9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</row>
    <row r="73" spans="1:9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</row>
    <row r="74" spans="1:9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</row>
    <row r="75" spans="1:9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</row>
    <row r="76" spans="1:9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</row>
    <row r="77" spans="1:9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</row>
    <row r="78" spans="1:9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</row>
    <row r="79" spans="1:9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</row>
    <row r="80" spans="1:9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</row>
    <row r="81" spans="1:9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</row>
    <row r="82" spans="1:9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</row>
    <row r="83" spans="1:9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</row>
    <row r="84" spans="1:9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</row>
    <row r="85" spans="1:9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</row>
    <row r="86" spans="1:9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</row>
    <row r="87" spans="1:9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</row>
    <row r="88" spans="1:9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</row>
    <row r="89" spans="1:9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</row>
    <row r="90" spans="1:9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</row>
    <row r="91" spans="1:9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</row>
    <row r="92" spans="1:9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</row>
    <row r="93" spans="1:9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</row>
    <row r="94" spans="1:9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</row>
    <row r="95" spans="1:9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</row>
    <row r="96" spans="1:9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</row>
    <row r="97" spans="1:9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</row>
    <row r="98" spans="1:9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</row>
    <row r="99" spans="1:9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</row>
    <row r="100" spans="1:9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</row>
    <row r="101" spans="1:9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</row>
    <row r="102" spans="1:9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</row>
    <row r="103" spans="1:9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</row>
    <row r="104" spans="1:9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</row>
    <row r="105" spans="1:9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</row>
    <row r="106" spans="1:9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</row>
    <row r="107" spans="1:9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</row>
    <row r="108" spans="1:9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</row>
    <row r="109" spans="1:9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</row>
    <row r="110" spans="1:9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</row>
    <row r="111" spans="1:9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</row>
    <row r="112" spans="1:9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</row>
    <row r="113" spans="1:9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</row>
    <row r="114" spans="1:9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</row>
    <row r="115" spans="1:9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</row>
    <row r="116" spans="1:9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</row>
    <row r="117" spans="1:9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</row>
    <row r="118" spans="1:9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</row>
    <row r="119" spans="1:9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</row>
    <row r="120" spans="1:9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</row>
    <row r="121" spans="1:9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</row>
    <row r="122" spans="1:9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</row>
    <row r="123" spans="1:9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</row>
    <row r="124" spans="1:9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</row>
    <row r="125" spans="1:9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</row>
    <row r="126" spans="1:9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</row>
    <row r="127" spans="1:9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</row>
    <row r="128" spans="1:9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</row>
    <row r="129" spans="1:9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</row>
    <row r="130" spans="1:9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</row>
    <row r="131" spans="1:9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</row>
    <row r="132" spans="1:9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</row>
    <row r="133" spans="1:9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</row>
    <row r="134" spans="1:9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</row>
    <row r="135" spans="1:9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</row>
    <row r="136" spans="1:9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</row>
    <row r="137" spans="1:9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</row>
    <row r="138" spans="1:9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</row>
    <row r="139" spans="1:9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</row>
    <row r="140" spans="1:9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</row>
    <row r="141" spans="1:9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</row>
    <row r="142" spans="1:9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</row>
    <row r="143" spans="1:9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</row>
    <row r="144" spans="1:9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</row>
    <row r="145" spans="1:9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</row>
    <row r="146" spans="1:9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</row>
    <row r="147" spans="1:9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</row>
    <row r="148" spans="1:9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</row>
    <row r="149" spans="1:9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</row>
    <row r="150" spans="1:9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</row>
    <row r="151" spans="1:9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</row>
    <row r="152" spans="1:9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</row>
    <row r="153" spans="1:9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</row>
    <row r="154" spans="1:9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</row>
    <row r="155" spans="1:9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</row>
    <row r="156" spans="1:9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</row>
    <row r="157" spans="1:9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</row>
    <row r="158" spans="1:9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</row>
    <row r="159" spans="1:9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</row>
    <row r="160" spans="1:9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</row>
    <row r="161" spans="1:9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</row>
    <row r="162" spans="1:9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</row>
    <row r="163" spans="1:9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</row>
    <row r="164" spans="1:9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</row>
    <row r="165" spans="1:9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</row>
    <row r="166" spans="1:9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</row>
    <row r="167" spans="1:9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</row>
    <row r="168" spans="1:9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</row>
    <row r="169" spans="1:9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</row>
    <row r="170" spans="1:9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</row>
    <row r="171" spans="1:9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</row>
    <row r="172" spans="1:9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</row>
    <row r="173" spans="1:9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</row>
    <row r="174" spans="1:9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</row>
    <row r="175" spans="1:9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</row>
    <row r="176" spans="1:9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</row>
    <row r="177" spans="1:9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</row>
    <row r="178" spans="1:9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</row>
    <row r="179" spans="1:9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</row>
    <row r="180" spans="1:9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</row>
    <row r="181" spans="1:9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</row>
    <row r="182" spans="1:9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</row>
    <row r="183" spans="1:9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</row>
    <row r="184" spans="1:9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</row>
    <row r="185" spans="1:9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</row>
    <row r="186" spans="1:9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</row>
    <row r="187" spans="1:9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</row>
    <row r="188" spans="1:9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</row>
    <row r="189" spans="1:9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</row>
    <row r="190" spans="1:9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</row>
    <row r="191" spans="1:9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</row>
    <row r="192" spans="1:9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</row>
    <row r="193" spans="1:9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</row>
    <row r="194" spans="1:9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</row>
    <row r="195" spans="1:9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</row>
    <row r="196" spans="1:9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</row>
    <row r="197" spans="1:9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</row>
    <row r="198" spans="1:9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</row>
    <row r="199" spans="1:9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</row>
    <row r="200" spans="1:9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</row>
    <row r="201" spans="1:9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</row>
    <row r="202" spans="1:9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</row>
    <row r="203" spans="1:9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</row>
    <row r="204" spans="1:9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</row>
    <row r="205" spans="1:9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</row>
    <row r="206" spans="1:9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</row>
    <row r="207" spans="1:9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</row>
    <row r="208" spans="1:9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</row>
    <row r="209" spans="1:9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</row>
    <row r="210" spans="1:9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</row>
    <row r="211" spans="1:9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</row>
    <row r="212" spans="1:9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</row>
    <row r="213" spans="1:9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</row>
    <row r="214" spans="1:9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</row>
    <row r="215" spans="1:9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</row>
    <row r="216" spans="1:9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</row>
    <row r="217" spans="1:9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</row>
    <row r="218" spans="1:9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</row>
    <row r="219" spans="1:9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</row>
    <row r="220" spans="1:9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</row>
    <row r="221" spans="1:9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</row>
    <row r="222" spans="1:9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</row>
    <row r="223" spans="1:9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</row>
    <row r="224" spans="1:9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</row>
    <row r="225" spans="1:9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</row>
    <row r="226" spans="1:9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</row>
    <row r="227" spans="1:9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</row>
    <row r="228" spans="1:9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</row>
    <row r="229" spans="1:9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</row>
    <row r="230" spans="1:9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</row>
    <row r="231" spans="1:9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</row>
    <row r="232" spans="1:9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</row>
    <row r="233" spans="1:9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</row>
    <row r="234" spans="1:9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</row>
    <row r="235" spans="1:9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</row>
    <row r="236" spans="1:9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</row>
    <row r="237" spans="1:9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</row>
    <row r="238" spans="1:9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</row>
    <row r="239" spans="1:9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</row>
    <row r="240" spans="1:9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</row>
    <row r="241" spans="1:9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</row>
    <row r="242" spans="1:9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</row>
    <row r="243" spans="1:9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</row>
    <row r="244" spans="1:9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</row>
    <row r="245" spans="1:9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</row>
    <row r="246" spans="1:9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</row>
    <row r="247" spans="1:9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</row>
    <row r="248" spans="1:9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</row>
    <row r="249" spans="1:9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</row>
    <row r="250" spans="1:9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</row>
    <row r="251" spans="1:9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</row>
    <row r="252" spans="1:9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</row>
    <row r="253" spans="1:9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</row>
    <row r="254" spans="1:9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</row>
    <row r="255" spans="1:9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</row>
    <row r="256" spans="1:9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</row>
    <row r="257" spans="1:9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</row>
    <row r="258" spans="1:9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</row>
    <row r="259" spans="1:9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</row>
    <row r="260" spans="1:9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</row>
    <row r="261" spans="1:9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</row>
    <row r="262" spans="1:9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</row>
    <row r="263" spans="1:9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</row>
    <row r="264" spans="1:9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</row>
    <row r="265" spans="1:9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</row>
    <row r="266" spans="1:9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</row>
    <row r="267" spans="1:9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</row>
    <row r="268" spans="1:9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</row>
    <row r="269" spans="1:9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</row>
    <row r="270" spans="1:9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</row>
    <row r="271" spans="1:9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</row>
    <row r="272" spans="1:9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</row>
    <row r="273" spans="1:9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</row>
    <row r="274" spans="1:9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</row>
    <row r="275" spans="1:9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</row>
    <row r="276" spans="1:9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</row>
    <row r="277" spans="1:9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</row>
    <row r="278" spans="1:9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</row>
    <row r="279" spans="1:9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</row>
    <row r="280" spans="1:9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</row>
    <row r="281" spans="1:9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</row>
    <row r="282" spans="1:9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</row>
    <row r="283" spans="1:9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</row>
    <row r="284" spans="1:9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</row>
    <row r="285" spans="1:9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</row>
    <row r="286" spans="1:9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</row>
    <row r="287" spans="1:9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</row>
    <row r="288" spans="1:9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</row>
    <row r="289" spans="1:9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</row>
    <row r="290" spans="1:9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</row>
    <row r="291" spans="1:9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</row>
    <row r="292" spans="1:9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</row>
    <row r="293" spans="1:9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</row>
    <row r="294" spans="1:9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</row>
    <row r="295" spans="1:9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</row>
    <row r="296" spans="1:9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</row>
    <row r="297" spans="1:9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</row>
    <row r="298" spans="1:9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</row>
    <row r="299" spans="1:9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</row>
    <row r="300" spans="1:9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</row>
  </sheetData>
  <sheetProtection selectLockedCells="1" selectUnlockedCells="1"/>
  <mergeCells count="2">
    <mergeCell ref="A1:B54"/>
    <mergeCell ref="C54:AG54"/>
  </mergeCells>
  <pageMargins left="0.70866141732283472" right="0.70866141732283472" top="0.74803149606299213" bottom="0.74803149606299213" header="0.31496062992125984" footer="0.31496062992125984"/>
  <pageSetup paperSize="9" scale="35" orientation="landscape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>
    <tabColor rgb="FF00B050"/>
    <pageSetUpPr fitToPage="1"/>
  </sheetPr>
  <dimension ref="A1:CN300"/>
  <sheetViews>
    <sheetView showGridLines="0" showRowColHeaders="0" zoomScale="50" zoomScaleNormal="50" zoomScaleSheetLayoutView="25" workbookViewId="0">
      <selection sqref="A1:B54"/>
    </sheetView>
  </sheetViews>
  <sheetFormatPr defaultRowHeight="15" x14ac:dyDescent="0.25"/>
  <cols>
    <col min="2" max="2" width="36.140625" customWidth="1"/>
    <col min="3" max="3" width="13.7109375" customWidth="1"/>
    <col min="24" max="24" width="14.28515625" customWidth="1"/>
    <col min="32" max="32" width="11.7109375" customWidth="1"/>
    <col min="33" max="33" width="35.42578125" customWidth="1"/>
  </cols>
  <sheetData>
    <row r="1" spans="1:92" ht="88.5" customHeight="1" x14ac:dyDescent="0.25">
      <c r="A1" s="86"/>
      <c r="B1" s="87"/>
      <c r="C1" s="96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8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</row>
    <row r="2" spans="1:92" ht="15" customHeight="1" x14ac:dyDescent="0.25">
      <c r="A2" s="86"/>
      <c r="B2" s="87"/>
      <c r="C2" s="96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8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</row>
    <row r="3" spans="1:92" ht="15" customHeight="1" x14ac:dyDescent="0.25">
      <c r="A3" s="86"/>
      <c r="B3" s="87"/>
      <c r="C3" s="96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8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</row>
    <row r="4" spans="1:92" ht="35.25" customHeight="1" x14ac:dyDescent="0.25">
      <c r="A4" s="86"/>
      <c r="B4" s="87"/>
      <c r="C4" s="96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8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</row>
    <row r="5" spans="1:92" ht="15" customHeight="1" x14ac:dyDescent="0.25">
      <c r="A5" s="86"/>
      <c r="B5" s="87"/>
      <c r="C5" s="96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8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</row>
    <row r="6" spans="1:92" ht="15" customHeight="1" x14ac:dyDescent="0.25">
      <c r="A6" s="86"/>
      <c r="B6" s="87"/>
      <c r="C6" s="96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8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</row>
    <row r="7" spans="1:92" ht="15" customHeight="1" x14ac:dyDescent="0.25">
      <c r="A7" s="86"/>
      <c r="B7" s="87"/>
      <c r="C7" s="96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8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</row>
    <row r="8" spans="1:92" ht="15" customHeight="1" x14ac:dyDescent="0.25">
      <c r="A8" s="86"/>
      <c r="B8" s="87"/>
      <c r="C8" s="96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8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</row>
    <row r="9" spans="1:92" ht="15" customHeight="1" x14ac:dyDescent="0.25">
      <c r="A9" s="86"/>
      <c r="B9" s="87"/>
      <c r="C9" s="96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8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</row>
    <row r="10" spans="1:92" ht="15" customHeight="1" x14ac:dyDescent="0.25">
      <c r="A10" s="86"/>
      <c r="B10" s="87"/>
      <c r="C10" s="96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8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</row>
    <row r="11" spans="1:92" ht="15" customHeight="1" x14ac:dyDescent="0.25">
      <c r="A11" s="86"/>
      <c r="B11" s="87"/>
      <c r="C11" s="96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8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</row>
    <row r="12" spans="1:92" ht="15" customHeight="1" x14ac:dyDescent="0.25">
      <c r="A12" s="86"/>
      <c r="B12" s="87"/>
      <c r="C12" s="96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8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</row>
    <row r="13" spans="1:92" ht="15" customHeight="1" x14ac:dyDescent="0.25">
      <c r="A13" s="86"/>
      <c r="B13" s="87"/>
      <c r="C13" s="96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8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</row>
    <row r="14" spans="1:92" ht="15" customHeight="1" x14ac:dyDescent="0.25">
      <c r="A14" s="86"/>
      <c r="B14" s="87"/>
      <c r="C14" s="96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8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</row>
    <row r="15" spans="1:92" ht="15" customHeight="1" x14ac:dyDescent="0.25">
      <c r="A15" s="86"/>
      <c r="B15" s="87"/>
      <c r="C15" s="96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8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</row>
    <row r="16" spans="1:92" ht="15" customHeight="1" x14ac:dyDescent="0.25">
      <c r="A16" s="86"/>
      <c r="B16" s="87"/>
      <c r="C16" s="96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8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</row>
    <row r="17" spans="1:92" ht="15" customHeight="1" x14ac:dyDescent="0.25">
      <c r="A17" s="86"/>
      <c r="B17" s="87"/>
      <c r="C17" s="96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8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</row>
    <row r="18" spans="1:92" ht="15" customHeight="1" x14ac:dyDescent="0.25">
      <c r="A18" s="86"/>
      <c r="B18" s="87"/>
      <c r="C18" s="96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8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</row>
    <row r="19" spans="1:92" ht="15" customHeight="1" x14ac:dyDescent="0.25">
      <c r="A19" s="86"/>
      <c r="B19" s="87"/>
      <c r="C19" s="96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8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</row>
    <row r="20" spans="1:92" ht="15" customHeight="1" x14ac:dyDescent="0.25">
      <c r="A20" s="86"/>
      <c r="B20" s="87"/>
      <c r="C20" s="96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8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</row>
    <row r="21" spans="1:92" ht="15" customHeight="1" x14ac:dyDescent="0.25">
      <c r="A21" s="86"/>
      <c r="B21" s="87"/>
      <c r="C21" s="96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8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</row>
    <row r="22" spans="1:92" ht="15" customHeight="1" x14ac:dyDescent="0.25">
      <c r="A22" s="86"/>
      <c r="B22" s="87"/>
      <c r="C22" s="96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8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</row>
    <row r="23" spans="1:92" ht="15" customHeight="1" x14ac:dyDescent="0.25">
      <c r="A23" s="86"/>
      <c r="B23" s="87"/>
      <c r="C23" s="96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8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</row>
    <row r="24" spans="1:92" ht="15" customHeight="1" x14ac:dyDescent="0.25">
      <c r="A24" s="86"/>
      <c r="B24" s="87"/>
      <c r="C24" s="96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8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</row>
    <row r="25" spans="1:92" ht="15" customHeight="1" x14ac:dyDescent="0.25">
      <c r="A25" s="86"/>
      <c r="B25" s="87"/>
      <c r="C25" s="96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8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</row>
    <row r="26" spans="1:92" ht="15" customHeight="1" x14ac:dyDescent="0.25">
      <c r="A26" s="86"/>
      <c r="B26" s="87"/>
      <c r="C26" s="96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8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</row>
    <row r="27" spans="1:92" ht="15" customHeight="1" x14ac:dyDescent="0.25">
      <c r="A27" s="86"/>
      <c r="B27" s="87"/>
      <c r="C27" s="96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8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</row>
    <row r="28" spans="1:92" ht="15" customHeight="1" x14ac:dyDescent="0.25">
      <c r="A28" s="86"/>
      <c r="B28" s="87"/>
      <c r="C28" s="96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8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</row>
    <row r="29" spans="1:92" ht="15" customHeight="1" x14ac:dyDescent="0.25">
      <c r="A29" s="86"/>
      <c r="B29" s="87"/>
      <c r="C29" s="96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8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</row>
    <row r="30" spans="1:92" ht="15" customHeight="1" x14ac:dyDescent="0.25">
      <c r="A30" s="86"/>
      <c r="B30" s="87"/>
      <c r="C30" s="96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8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</row>
    <row r="31" spans="1:92" ht="15" customHeight="1" x14ac:dyDescent="0.25">
      <c r="A31" s="86"/>
      <c r="B31" s="87"/>
      <c r="C31" s="96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8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</row>
    <row r="32" spans="1:92" ht="15" customHeight="1" x14ac:dyDescent="0.25">
      <c r="A32" s="86"/>
      <c r="B32" s="87"/>
      <c r="C32" s="96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8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</row>
    <row r="33" spans="1:92" ht="15" customHeight="1" x14ac:dyDescent="0.25">
      <c r="A33" s="86"/>
      <c r="B33" s="87"/>
      <c r="C33" s="96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8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</row>
    <row r="34" spans="1:92" ht="15" customHeight="1" x14ac:dyDescent="0.25">
      <c r="A34" s="86"/>
      <c r="B34" s="87"/>
      <c r="C34" s="96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8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</row>
    <row r="35" spans="1:92" ht="15" customHeight="1" x14ac:dyDescent="0.25">
      <c r="A35" s="86"/>
      <c r="B35" s="87"/>
      <c r="C35" s="96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8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</row>
    <row r="36" spans="1:92" ht="15" customHeight="1" x14ac:dyDescent="0.25">
      <c r="A36" s="86"/>
      <c r="B36" s="87"/>
      <c r="C36" s="96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8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</row>
    <row r="37" spans="1:92" ht="15" customHeight="1" x14ac:dyDescent="0.25">
      <c r="A37" s="86"/>
      <c r="B37" s="87"/>
      <c r="C37" s="96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8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</row>
    <row r="38" spans="1:92" ht="15" customHeight="1" x14ac:dyDescent="0.25">
      <c r="A38" s="86"/>
      <c r="B38" s="87"/>
      <c r="C38" s="96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8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</row>
    <row r="39" spans="1:92" ht="15" customHeight="1" x14ac:dyDescent="0.25">
      <c r="A39" s="86"/>
      <c r="B39" s="87"/>
      <c r="C39" s="96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8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</row>
    <row r="40" spans="1:92" ht="15" customHeight="1" x14ac:dyDescent="0.25">
      <c r="A40" s="86"/>
      <c r="B40" s="87"/>
      <c r="C40" s="96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8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</row>
    <row r="41" spans="1:92" ht="15" customHeight="1" x14ac:dyDescent="0.25">
      <c r="A41" s="86"/>
      <c r="B41" s="87"/>
      <c r="C41" s="96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8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</row>
    <row r="42" spans="1:92" ht="15" customHeight="1" x14ac:dyDescent="0.25">
      <c r="A42" s="86"/>
      <c r="B42" s="87"/>
      <c r="C42" s="96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8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</row>
    <row r="43" spans="1:92" ht="15" customHeight="1" x14ac:dyDescent="0.25">
      <c r="A43" s="86"/>
      <c r="B43" s="87"/>
      <c r="C43" s="96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8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</row>
    <row r="44" spans="1:92" ht="15" customHeight="1" x14ac:dyDescent="0.25">
      <c r="A44" s="86"/>
      <c r="B44" s="87"/>
      <c r="C44" s="96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8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</row>
    <row r="45" spans="1:92" ht="15" customHeight="1" x14ac:dyDescent="0.25">
      <c r="A45" s="86"/>
      <c r="B45" s="87"/>
      <c r="C45" s="96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8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</row>
    <row r="46" spans="1:92" ht="15" customHeight="1" x14ac:dyDescent="0.25">
      <c r="A46" s="86"/>
      <c r="B46" s="87"/>
      <c r="C46" s="96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8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</row>
    <row r="47" spans="1:92" ht="15" customHeight="1" x14ac:dyDescent="0.25">
      <c r="A47" s="86"/>
      <c r="B47" s="87"/>
      <c r="C47" s="96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8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</row>
    <row r="48" spans="1:92" ht="15" customHeight="1" x14ac:dyDescent="0.25">
      <c r="A48" s="86"/>
      <c r="B48" s="87"/>
      <c r="C48" s="96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8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</row>
    <row r="49" spans="1:92" ht="15" customHeight="1" x14ac:dyDescent="0.25">
      <c r="A49" s="86"/>
      <c r="B49" s="87"/>
      <c r="C49" s="96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8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</row>
    <row r="50" spans="1:92" ht="15" customHeight="1" x14ac:dyDescent="0.25">
      <c r="A50" s="86"/>
      <c r="B50" s="87"/>
      <c r="C50" s="96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8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</row>
    <row r="51" spans="1:92" ht="15" customHeight="1" x14ac:dyDescent="0.25">
      <c r="A51" s="86"/>
      <c r="B51" s="87"/>
      <c r="C51" s="96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8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</row>
    <row r="52" spans="1:92" ht="15" customHeight="1" x14ac:dyDescent="0.25">
      <c r="A52" s="86"/>
      <c r="B52" s="87"/>
      <c r="C52" s="96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8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</row>
    <row r="53" spans="1:92" ht="15" customHeight="1" x14ac:dyDescent="0.25">
      <c r="A53" s="86"/>
      <c r="B53" s="87"/>
      <c r="C53" s="96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8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</row>
    <row r="54" spans="1:92" ht="54.75" customHeight="1" thickBot="1" x14ac:dyDescent="0.4">
      <c r="A54" s="86"/>
      <c r="B54" s="87"/>
      <c r="C54" s="84" t="s">
        <v>1</v>
      </c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95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</row>
    <row r="55" spans="1:9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</row>
    <row r="56" spans="1:9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</row>
    <row r="57" spans="1:9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</row>
    <row r="58" spans="1:9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</row>
    <row r="59" spans="1:9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</row>
    <row r="60" spans="1:9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</row>
    <row r="61" spans="1:9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</row>
    <row r="62" spans="1:9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</row>
    <row r="63" spans="1:9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</row>
    <row r="64" spans="1:9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</row>
    <row r="65" spans="1:9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</row>
    <row r="66" spans="1:9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</row>
    <row r="67" spans="1:9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</row>
    <row r="68" spans="1:9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</row>
    <row r="69" spans="1:9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</row>
    <row r="70" spans="1:9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</row>
    <row r="71" spans="1:9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</row>
    <row r="72" spans="1:9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</row>
    <row r="73" spans="1:9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</row>
    <row r="74" spans="1:9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</row>
    <row r="75" spans="1:9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</row>
    <row r="76" spans="1:9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</row>
    <row r="77" spans="1:9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</row>
    <row r="78" spans="1:9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</row>
    <row r="79" spans="1:9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</row>
    <row r="80" spans="1:9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</row>
    <row r="81" spans="1:9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</row>
    <row r="82" spans="1:9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</row>
    <row r="83" spans="1:9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</row>
    <row r="84" spans="1:9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</row>
    <row r="85" spans="1:9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</row>
    <row r="86" spans="1:9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</row>
    <row r="87" spans="1:9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</row>
    <row r="88" spans="1:9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</row>
    <row r="89" spans="1:9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</row>
    <row r="90" spans="1:9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</row>
    <row r="91" spans="1:9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</row>
    <row r="92" spans="1:9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</row>
    <row r="93" spans="1:9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</row>
    <row r="94" spans="1:9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</row>
    <row r="95" spans="1:9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</row>
    <row r="96" spans="1:9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</row>
    <row r="97" spans="1:9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</row>
    <row r="98" spans="1:9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</row>
    <row r="99" spans="1:9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</row>
    <row r="100" spans="1:9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</row>
    <row r="101" spans="1:9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</row>
    <row r="102" spans="1:9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</row>
    <row r="103" spans="1:9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</row>
    <row r="104" spans="1:9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</row>
    <row r="105" spans="1:9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</row>
    <row r="106" spans="1:9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</row>
    <row r="107" spans="1:9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</row>
    <row r="108" spans="1:9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</row>
    <row r="109" spans="1:9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</row>
    <row r="110" spans="1:9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</row>
    <row r="111" spans="1:9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</row>
    <row r="112" spans="1:9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</row>
    <row r="113" spans="1:9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</row>
    <row r="114" spans="1:9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</row>
    <row r="115" spans="1:9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</row>
    <row r="116" spans="1:9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</row>
    <row r="117" spans="1:9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</row>
    <row r="118" spans="1:9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</row>
    <row r="119" spans="1:9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</row>
    <row r="120" spans="1:9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</row>
    <row r="121" spans="1:9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</row>
    <row r="122" spans="1:9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</row>
    <row r="123" spans="1:9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</row>
    <row r="124" spans="1:9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</row>
    <row r="125" spans="1:9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</row>
    <row r="126" spans="1:9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</row>
    <row r="127" spans="1:9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</row>
    <row r="128" spans="1:9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</row>
    <row r="129" spans="1:9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</row>
    <row r="130" spans="1:9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</row>
    <row r="131" spans="1:9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</row>
    <row r="132" spans="1:9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</row>
    <row r="133" spans="1:9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</row>
    <row r="134" spans="1:9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</row>
    <row r="135" spans="1:9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</row>
    <row r="136" spans="1:9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</row>
    <row r="137" spans="1:9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</row>
    <row r="138" spans="1:9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</row>
    <row r="139" spans="1:9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</row>
    <row r="140" spans="1:9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</row>
    <row r="141" spans="1:9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</row>
    <row r="142" spans="1:9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</row>
    <row r="143" spans="1:9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</row>
    <row r="144" spans="1:9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</row>
    <row r="145" spans="1:9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</row>
    <row r="146" spans="1:9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</row>
    <row r="147" spans="1:9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</row>
    <row r="148" spans="1:9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</row>
    <row r="149" spans="1:9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</row>
    <row r="150" spans="1:9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</row>
    <row r="151" spans="1:9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</row>
    <row r="152" spans="1:9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</row>
    <row r="153" spans="1:9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</row>
    <row r="154" spans="1:9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</row>
    <row r="155" spans="1:9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</row>
    <row r="156" spans="1:9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</row>
    <row r="157" spans="1:9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</row>
    <row r="158" spans="1:9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</row>
    <row r="159" spans="1:9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</row>
    <row r="160" spans="1:9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</row>
    <row r="161" spans="1:9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</row>
    <row r="162" spans="1:9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</row>
    <row r="163" spans="1:9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</row>
    <row r="164" spans="1:9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</row>
    <row r="165" spans="1:9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</row>
    <row r="166" spans="1:9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</row>
    <row r="167" spans="1:9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</row>
    <row r="168" spans="1:9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</row>
    <row r="169" spans="1:9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</row>
    <row r="170" spans="1:9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</row>
    <row r="171" spans="1:9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</row>
    <row r="172" spans="1:9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</row>
    <row r="173" spans="1:9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</row>
    <row r="174" spans="1:9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</row>
    <row r="175" spans="1:9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</row>
    <row r="176" spans="1:9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</row>
    <row r="177" spans="1:9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</row>
    <row r="178" spans="1:9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</row>
    <row r="179" spans="1:9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</row>
    <row r="180" spans="1:9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</row>
    <row r="181" spans="1:9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</row>
    <row r="182" spans="1:9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</row>
    <row r="183" spans="1:9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</row>
    <row r="184" spans="1:9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</row>
    <row r="185" spans="1:9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</row>
    <row r="186" spans="1:9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</row>
    <row r="187" spans="1:9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</row>
    <row r="188" spans="1:9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</row>
    <row r="189" spans="1:9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</row>
    <row r="190" spans="1:9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</row>
    <row r="191" spans="1:9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</row>
    <row r="192" spans="1:9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</row>
    <row r="193" spans="1:9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</row>
    <row r="194" spans="1:9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</row>
    <row r="195" spans="1:9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</row>
    <row r="196" spans="1:9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</row>
    <row r="197" spans="1:9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</row>
    <row r="198" spans="1:9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</row>
    <row r="199" spans="1:9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</row>
    <row r="200" spans="1:9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</row>
    <row r="201" spans="1:9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</row>
    <row r="202" spans="1:9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</row>
    <row r="203" spans="1:9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</row>
    <row r="204" spans="1:9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</row>
    <row r="205" spans="1:9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</row>
    <row r="206" spans="1:9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</row>
    <row r="207" spans="1:9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</row>
    <row r="208" spans="1:9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</row>
    <row r="209" spans="1:9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</row>
    <row r="210" spans="1:9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</row>
    <row r="211" spans="1:9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</row>
    <row r="212" spans="1:9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</row>
    <row r="213" spans="1:9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</row>
    <row r="214" spans="1:9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</row>
    <row r="215" spans="1:9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</row>
    <row r="216" spans="1:9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</row>
    <row r="217" spans="1:9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</row>
    <row r="218" spans="1:9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</row>
    <row r="219" spans="1:9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</row>
    <row r="220" spans="1:9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</row>
    <row r="221" spans="1:9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</row>
    <row r="222" spans="1:9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</row>
    <row r="223" spans="1:9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</row>
    <row r="224" spans="1:9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</row>
    <row r="225" spans="1:9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</row>
    <row r="226" spans="1:9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</row>
    <row r="227" spans="1:9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</row>
    <row r="228" spans="1:9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</row>
    <row r="229" spans="1:9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</row>
    <row r="230" spans="1:9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</row>
    <row r="231" spans="1:9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</row>
    <row r="232" spans="1:9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</row>
    <row r="233" spans="1:9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</row>
    <row r="234" spans="1:9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</row>
    <row r="235" spans="1:9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</row>
    <row r="236" spans="1:9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</row>
    <row r="237" spans="1:9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</row>
    <row r="238" spans="1:9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</row>
    <row r="239" spans="1:9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</row>
    <row r="240" spans="1:9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</row>
    <row r="241" spans="1:9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</row>
    <row r="242" spans="1:9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</row>
    <row r="243" spans="1:9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</row>
    <row r="244" spans="1:9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</row>
    <row r="245" spans="1:9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</row>
    <row r="246" spans="1:9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</row>
    <row r="247" spans="1:9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</row>
    <row r="248" spans="1:9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</row>
    <row r="249" spans="1:9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</row>
    <row r="250" spans="1:9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</row>
    <row r="251" spans="1:9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</row>
    <row r="252" spans="1:9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</row>
    <row r="253" spans="1:9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</row>
    <row r="254" spans="1:9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</row>
    <row r="255" spans="1:9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</row>
    <row r="256" spans="1:9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</row>
    <row r="257" spans="1:9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</row>
    <row r="258" spans="1:9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</row>
    <row r="259" spans="1:9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</row>
    <row r="260" spans="1:9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</row>
    <row r="261" spans="1:9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</row>
    <row r="262" spans="1:9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</row>
    <row r="263" spans="1:9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</row>
    <row r="264" spans="1:9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</row>
    <row r="265" spans="1:9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</row>
    <row r="266" spans="1:9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</row>
    <row r="267" spans="1:9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</row>
    <row r="268" spans="1:9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</row>
    <row r="269" spans="1:9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</row>
    <row r="270" spans="1:9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</row>
    <row r="271" spans="1:9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</row>
    <row r="272" spans="1:9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</row>
    <row r="273" spans="1:9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</row>
    <row r="274" spans="1:9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</row>
    <row r="275" spans="1:9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</row>
    <row r="276" spans="1:9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</row>
    <row r="277" spans="1:9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</row>
    <row r="278" spans="1:9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</row>
    <row r="279" spans="1:9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</row>
    <row r="280" spans="1:9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</row>
    <row r="281" spans="1:9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</row>
    <row r="282" spans="1:9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</row>
    <row r="283" spans="1:9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</row>
    <row r="284" spans="1:9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</row>
    <row r="285" spans="1:9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</row>
    <row r="286" spans="1:9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</row>
    <row r="287" spans="1:9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</row>
    <row r="288" spans="1:9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</row>
    <row r="289" spans="1:9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</row>
    <row r="290" spans="1:9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</row>
    <row r="291" spans="1:9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</row>
    <row r="292" spans="1:9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</row>
    <row r="293" spans="1:9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</row>
    <row r="294" spans="1:9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</row>
    <row r="295" spans="1:9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</row>
    <row r="296" spans="1:9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</row>
    <row r="297" spans="1:9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</row>
    <row r="298" spans="1:9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</row>
    <row r="299" spans="1:9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</row>
    <row r="300" spans="1:9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</row>
  </sheetData>
  <sheetProtection selectLockedCells="1" selectUnlockedCells="1"/>
  <mergeCells count="3">
    <mergeCell ref="A1:B54"/>
    <mergeCell ref="C54:AG54"/>
    <mergeCell ref="C1:AG53"/>
  </mergeCells>
  <pageMargins left="0.70866141732283472" right="0.70866141732283472" top="0.74803149606299213" bottom="0.74803149606299213" header="0.31496062992125984" footer="0.31496062992125984"/>
  <pageSetup paperSize="9" scale="35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>
    <tabColor rgb="FF00B050"/>
    <pageSetUpPr fitToPage="1"/>
  </sheetPr>
  <dimension ref="A1:CM293"/>
  <sheetViews>
    <sheetView showGridLines="0" showRowColHeaders="0" zoomScale="55" zoomScaleNormal="55" zoomScaleSheetLayoutView="55" workbookViewId="0">
      <selection sqref="A1:B47"/>
    </sheetView>
  </sheetViews>
  <sheetFormatPr defaultRowHeight="15" x14ac:dyDescent="0.25"/>
  <cols>
    <col min="2" max="2" width="36.140625" customWidth="1"/>
    <col min="3" max="3" width="13.7109375" customWidth="1"/>
    <col min="18" max="18" width="9.140625" customWidth="1"/>
    <col min="20" max="20" width="9.140625" customWidth="1"/>
    <col min="24" max="35" width="11.7109375" customWidth="1"/>
    <col min="37" max="37" width="19.5703125" hidden="1" customWidth="1"/>
    <col min="38" max="38" width="5.85546875" hidden="1" customWidth="1"/>
    <col min="39" max="39" width="10.140625" hidden="1" customWidth="1"/>
    <col min="40" max="40" width="10.85546875" hidden="1" customWidth="1"/>
    <col min="41" max="41" width="22.28515625" hidden="1" customWidth="1"/>
  </cols>
  <sheetData>
    <row r="1" spans="1:91" ht="88.5" customHeight="1" x14ac:dyDescent="0.25">
      <c r="A1" s="86"/>
      <c r="B1" s="87"/>
      <c r="C1" s="2" t="s">
        <v>2</v>
      </c>
      <c r="D1" s="5"/>
      <c r="E1" s="5"/>
      <c r="F1" s="5"/>
      <c r="G1" s="3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7"/>
      <c r="AG1" s="7"/>
      <c r="AH1" s="7"/>
      <c r="AI1" s="7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</row>
    <row r="2" spans="1:91" ht="15" customHeight="1" x14ac:dyDescent="0.25">
      <c r="A2" s="86"/>
      <c r="B2" s="87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7"/>
      <c r="AG2" s="7"/>
      <c r="AH2" s="7"/>
      <c r="AI2" s="7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</row>
    <row r="3" spans="1:91" ht="15" customHeight="1" x14ac:dyDescent="0.25">
      <c r="A3" s="86"/>
      <c r="B3" s="87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7"/>
      <c r="AG3" s="7"/>
      <c r="AH3" s="7"/>
      <c r="AI3" s="7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</row>
    <row r="4" spans="1:91" ht="35.25" customHeight="1" x14ac:dyDescent="0.25">
      <c r="A4" s="86"/>
      <c r="B4" s="87"/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7"/>
      <c r="AG4" s="7"/>
      <c r="AH4" s="7"/>
      <c r="AI4" s="7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</row>
    <row r="5" spans="1:91" ht="15" customHeight="1" x14ac:dyDescent="0.25">
      <c r="A5" s="86"/>
      <c r="B5" s="87"/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7"/>
      <c r="AG5" s="7"/>
      <c r="AH5" s="7"/>
      <c r="AI5" s="7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</row>
    <row r="6" spans="1:91" ht="15" customHeight="1" x14ac:dyDescent="0.25">
      <c r="A6" s="86"/>
      <c r="B6" s="87"/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7"/>
      <c r="AG6" s="7"/>
      <c r="AH6" s="7"/>
      <c r="AI6" s="7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</row>
    <row r="7" spans="1:91" ht="15" customHeight="1" x14ac:dyDescent="0.25">
      <c r="A7" s="86"/>
      <c r="B7" s="87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7"/>
      <c r="AG7" s="7"/>
      <c r="AH7" s="7"/>
      <c r="AI7" s="7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</row>
    <row r="8" spans="1:91" ht="15" customHeight="1" x14ac:dyDescent="0.25">
      <c r="A8" s="86"/>
      <c r="B8" s="87"/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7"/>
      <c r="AG8" s="7"/>
      <c r="AH8" s="7"/>
      <c r="AI8" s="7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</row>
    <row r="9" spans="1:91" ht="15" customHeight="1" x14ac:dyDescent="0.25">
      <c r="A9" s="86"/>
      <c r="B9" s="87"/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7"/>
      <c r="AG9" s="7"/>
      <c r="AH9" s="7"/>
      <c r="AI9" s="7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</row>
    <row r="10" spans="1:91" ht="15" customHeight="1" x14ac:dyDescent="0.25">
      <c r="A10" s="86"/>
      <c r="B10" s="87"/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7"/>
      <c r="AG10" s="7"/>
      <c r="AH10" s="7"/>
      <c r="AI10" s="7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</row>
    <row r="11" spans="1:91" ht="15" customHeight="1" x14ac:dyDescent="0.25">
      <c r="A11" s="86"/>
      <c r="B11" s="87"/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7"/>
      <c r="AG11" s="7"/>
      <c r="AH11" s="7"/>
      <c r="AI11" s="7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</row>
    <row r="12" spans="1:91" ht="15" customHeight="1" x14ac:dyDescent="0.25">
      <c r="A12" s="86"/>
      <c r="B12" s="87"/>
      <c r="C12" s="4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7"/>
      <c r="AG12" s="7"/>
      <c r="AH12" s="7"/>
      <c r="AI12" s="7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</row>
    <row r="13" spans="1:91" ht="15" customHeight="1" x14ac:dyDescent="0.25">
      <c r="A13" s="86"/>
      <c r="B13" s="87"/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7"/>
      <c r="AG13" s="7"/>
      <c r="AH13" s="7"/>
      <c r="AI13" s="7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</row>
    <row r="14" spans="1:91" ht="15" customHeight="1" x14ac:dyDescent="0.25">
      <c r="A14" s="86"/>
      <c r="B14" s="87"/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7"/>
      <c r="AG14" s="7"/>
      <c r="AH14" s="7"/>
      <c r="AI14" s="7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</row>
    <row r="15" spans="1:91" ht="15" customHeight="1" x14ac:dyDescent="0.25">
      <c r="A15" s="86"/>
      <c r="B15" s="87"/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7"/>
      <c r="AG15" s="7"/>
      <c r="AH15" s="7"/>
      <c r="AI15" s="7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</row>
    <row r="16" spans="1:91" ht="15" customHeight="1" x14ac:dyDescent="0.25">
      <c r="A16" s="86"/>
      <c r="B16" s="87"/>
      <c r="C16" s="4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7"/>
      <c r="AG16" s="7"/>
      <c r="AH16" s="7"/>
      <c r="AI16" s="7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</row>
    <row r="17" spans="1:91" ht="15" customHeight="1" x14ac:dyDescent="0.25">
      <c r="A17" s="86"/>
      <c r="B17" s="87"/>
      <c r="C17" s="4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7"/>
      <c r="AG17" s="7"/>
      <c r="AH17" s="7"/>
      <c r="AI17" s="7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</row>
    <row r="18" spans="1:91" ht="15" customHeight="1" x14ac:dyDescent="0.25">
      <c r="A18" s="86"/>
      <c r="B18" s="87"/>
      <c r="C18" s="4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7"/>
      <c r="AG18" s="7"/>
      <c r="AH18" s="7"/>
      <c r="AI18" s="7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</row>
    <row r="19" spans="1:91" ht="15" customHeight="1" x14ac:dyDescent="0.25">
      <c r="A19" s="86"/>
      <c r="B19" s="87"/>
      <c r="C19" s="4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7"/>
      <c r="AG19" s="7"/>
      <c r="AH19" s="7"/>
      <c r="AI19" s="7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</row>
    <row r="20" spans="1:91" ht="15" customHeight="1" x14ac:dyDescent="0.25">
      <c r="A20" s="86"/>
      <c r="B20" s="87"/>
      <c r="C20" s="4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7"/>
      <c r="AG20" s="7"/>
      <c r="AH20" s="7"/>
      <c r="AI20" s="7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</row>
    <row r="21" spans="1:91" ht="15" customHeight="1" x14ac:dyDescent="0.25">
      <c r="A21" s="86"/>
      <c r="B21" s="87"/>
      <c r="C21" s="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7"/>
      <c r="AG21" s="7"/>
      <c r="AH21" s="7"/>
      <c r="AI21" s="7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</row>
    <row r="22" spans="1:91" ht="15" customHeight="1" x14ac:dyDescent="0.25">
      <c r="A22" s="86"/>
      <c r="B22" s="87"/>
      <c r="C22" s="4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7"/>
      <c r="AG22" s="7"/>
      <c r="AH22" s="7"/>
      <c r="AI22" s="7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</row>
    <row r="23" spans="1:91" ht="15" customHeight="1" x14ac:dyDescent="0.25">
      <c r="A23" s="86"/>
      <c r="B23" s="87"/>
      <c r="C23" s="4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7"/>
      <c r="AG23" s="7"/>
      <c r="AH23" s="7"/>
      <c r="AI23" s="7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</row>
    <row r="24" spans="1:91" ht="15" customHeight="1" x14ac:dyDescent="0.25">
      <c r="A24" s="86"/>
      <c r="B24" s="87"/>
      <c r="C24" s="4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7"/>
      <c r="AG24" s="7"/>
      <c r="AH24" s="7"/>
      <c r="AI24" s="7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</row>
    <row r="25" spans="1:91" ht="15" customHeight="1" x14ac:dyDescent="0.25">
      <c r="A25" s="86"/>
      <c r="B25" s="87"/>
      <c r="C25" s="4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7"/>
      <c r="AG25" s="7"/>
      <c r="AH25" s="7"/>
      <c r="AI25" s="7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</row>
    <row r="26" spans="1:91" ht="15" customHeight="1" x14ac:dyDescent="0.25">
      <c r="A26" s="86"/>
      <c r="B26" s="87"/>
      <c r="C26" s="4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7"/>
      <c r="AG26" s="7"/>
      <c r="AH26" s="7"/>
      <c r="AI26" s="7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</row>
    <row r="27" spans="1:91" ht="15" customHeight="1" x14ac:dyDescent="0.25">
      <c r="A27" s="86"/>
      <c r="B27" s="87"/>
      <c r="C27" s="4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7"/>
      <c r="AG27" s="7"/>
      <c r="AH27" s="7"/>
      <c r="AI27" s="7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</row>
    <row r="28" spans="1:91" ht="15" customHeight="1" x14ac:dyDescent="0.25">
      <c r="A28" s="86"/>
      <c r="B28" s="87"/>
      <c r="C28" s="4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7"/>
      <c r="AG28" s="7"/>
      <c r="AH28" s="7"/>
      <c r="AI28" s="7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</row>
    <row r="29" spans="1:91" ht="15" customHeight="1" x14ac:dyDescent="0.25">
      <c r="A29" s="86"/>
      <c r="B29" s="87"/>
      <c r="C29" s="4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7"/>
      <c r="AG29" s="7"/>
      <c r="AH29" s="7"/>
      <c r="AI29" s="7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</row>
    <row r="30" spans="1:91" ht="15" customHeight="1" x14ac:dyDescent="0.25">
      <c r="A30" s="86"/>
      <c r="B30" s="87"/>
      <c r="C30" s="4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7"/>
      <c r="AG30" s="7"/>
      <c r="AH30" s="7"/>
      <c r="AI30" s="7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</row>
    <row r="31" spans="1:91" ht="15" customHeight="1" x14ac:dyDescent="0.25">
      <c r="A31" s="86"/>
      <c r="B31" s="87"/>
      <c r="C31" s="4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7"/>
      <c r="AG31" s="7"/>
      <c r="AH31" s="7"/>
      <c r="AI31" s="7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</row>
    <row r="32" spans="1:91" ht="15" customHeight="1" x14ac:dyDescent="0.25">
      <c r="A32" s="86"/>
      <c r="B32" s="87"/>
      <c r="C32" s="4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7"/>
      <c r="AG32" s="7"/>
      <c r="AH32" s="7"/>
      <c r="AI32" s="7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</row>
    <row r="33" spans="1:91" ht="15" customHeight="1" x14ac:dyDescent="0.25">
      <c r="A33" s="86"/>
      <c r="B33" s="87"/>
      <c r="C33" s="4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7"/>
      <c r="AG33" s="7"/>
      <c r="AH33" s="7"/>
      <c r="AI33" s="7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</row>
    <row r="34" spans="1:91" ht="35.1" customHeight="1" x14ac:dyDescent="0.25">
      <c r="A34" s="86"/>
      <c r="B34" s="87"/>
      <c r="C34" s="4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7"/>
      <c r="AG34" s="7"/>
      <c r="AH34" s="7"/>
      <c r="AI34" s="7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</row>
    <row r="35" spans="1:91" ht="35.1" customHeight="1" thickBot="1" x14ac:dyDescent="0.3">
      <c r="A35" s="86"/>
      <c r="B35" s="87"/>
      <c r="C35" s="4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7"/>
      <c r="AG35" s="7"/>
      <c r="AH35" s="7"/>
      <c r="AI35" s="7"/>
      <c r="AJ35" s="1"/>
      <c r="AK35" s="14" t="s">
        <v>10</v>
      </c>
      <c r="AL35" s="15">
        <v>1</v>
      </c>
      <c r="AM35" s="15">
        <v>2020</v>
      </c>
      <c r="AN35" s="15" t="s">
        <v>11</v>
      </c>
      <c r="AO35" s="16">
        <f>DATE(AB36,VLOOKUP(X36,AK35:AL46,2,FALSE),1)</f>
        <v>46204</v>
      </c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</row>
    <row r="36" spans="1:91" ht="35.1" customHeight="1" thickBot="1" x14ac:dyDescent="0.3">
      <c r="A36" s="86"/>
      <c r="B36" s="87"/>
      <c r="C36" s="4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101" t="s">
        <v>18</v>
      </c>
      <c r="Y36" s="102"/>
      <c r="Z36" s="102"/>
      <c r="AA36" s="102"/>
      <c r="AB36" s="99">
        <v>2026</v>
      </c>
      <c r="AC36" s="99"/>
      <c r="AD36" s="100"/>
      <c r="AE36" s="5"/>
      <c r="AF36" s="7"/>
      <c r="AG36" s="7"/>
      <c r="AH36" s="7"/>
      <c r="AI36" s="7"/>
      <c r="AJ36" s="1"/>
      <c r="AK36" s="17" t="s">
        <v>12</v>
      </c>
      <c r="AL36" s="18">
        <v>2</v>
      </c>
      <c r="AM36" s="18">
        <v>2021</v>
      </c>
      <c r="AN36" s="18" t="s">
        <v>13</v>
      </c>
      <c r="AO36" s="19">
        <f>EOMONTH(AO35,0)</f>
        <v>46234</v>
      </c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</row>
    <row r="37" spans="1:91" ht="22.5" customHeight="1" x14ac:dyDescent="0.25">
      <c r="A37" s="86"/>
      <c r="B37" s="87"/>
      <c r="C37" s="4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8" t="s">
        <v>3</v>
      </c>
      <c r="Y37" s="9" t="s">
        <v>4</v>
      </c>
      <c r="Z37" s="9" t="s">
        <v>5</v>
      </c>
      <c r="AA37" s="9" t="s">
        <v>6</v>
      </c>
      <c r="AB37" s="9" t="s">
        <v>7</v>
      </c>
      <c r="AC37" s="9" t="s">
        <v>8</v>
      </c>
      <c r="AD37" s="10" t="s">
        <v>9</v>
      </c>
      <c r="AE37" s="5"/>
      <c r="AF37" s="7"/>
      <c r="AG37" s="7"/>
      <c r="AH37" s="7"/>
      <c r="AI37" s="7"/>
      <c r="AJ37" s="1"/>
      <c r="AK37" s="17" t="s">
        <v>14</v>
      </c>
      <c r="AL37" s="18">
        <v>3</v>
      </c>
      <c r="AM37" s="18">
        <v>2022</v>
      </c>
      <c r="AN37" s="18"/>
      <c r="AO37" s="27">
        <f>WEEKDAY(AO35,1)</f>
        <v>4</v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</row>
    <row r="38" spans="1:91" ht="35.1" customHeight="1" x14ac:dyDescent="0.25">
      <c r="A38" s="86"/>
      <c r="B38" s="87"/>
      <c r="C38" s="4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21">
        <f>AO35-AO37+1</f>
        <v>46201</v>
      </c>
      <c r="Y38" s="22">
        <f t="shared" ref="Y38:AD39" si="0">X38+1</f>
        <v>46202</v>
      </c>
      <c r="Z38" s="22">
        <f t="shared" si="0"/>
        <v>46203</v>
      </c>
      <c r="AA38" s="22">
        <f t="shared" si="0"/>
        <v>46204</v>
      </c>
      <c r="AB38" s="22">
        <f t="shared" si="0"/>
        <v>46205</v>
      </c>
      <c r="AC38" s="22">
        <f t="shared" si="0"/>
        <v>46206</v>
      </c>
      <c r="AD38" s="23">
        <f t="shared" si="0"/>
        <v>46207</v>
      </c>
      <c r="AE38" s="7"/>
      <c r="AF38" s="7"/>
      <c r="AG38" s="7"/>
      <c r="AH38" s="7"/>
      <c r="AI38" s="7"/>
      <c r="AJ38" s="1"/>
      <c r="AK38" s="17" t="s">
        <v>15</v>
      </c>
      <c r="AL38" s="18">
        <v>4</v>
      </c>
      <c r="AM38" s="18">
        <v>2023</v>
      </c>
      <c r="AN38" s="18"/>
      <c r="AO38" s="20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</row>
    <row r="39" spans="1:91" ht="35.1" customHeight="1" x14ac:dyDescent="0.25">
      <c r="A39" s="86"/>
      <c r="B39" s="87"/>
      <c r="C39" s="4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6"/>
      <c r="X39" s="21">
        <f>AD38+1</f>
        <v>46208</v>
      </c>
      <c r="Y39" s="22">
        <f t="shared" si="0"/>
        <v>46209</v>
      </c>
      <c r="Z39" s="22">
        <f t="shared" si="0"/>
        <v>46210</v>
      </c>
      <c r="AA39" s="22">
        <f t="shared" si="0"/>
        <v>46211</v>
      </c>
      <c r="AB39" s="22">
        <f t="shared" si="0"/>
        <v>46212</v>
      </c>
      <c r="AC39" s="22">
        <f t="shared" si="0"/>
        <v>46213</v>
      </c>
      <c r="AD39" s="23">
        <f t="shared" si="0"/>
        <v>46214</v>
      </c>
      <c r="AE39" s="7"/>
      <c r="AF39" s="7"/>
      <c r="AG39" s="7"/>
      <c r="AH39" s="7"/>
      <c r="AI39" s="7"/>
      <c r="AJ39" s="1"/>
      <c r="AK39" s="17" t="s">
        <v>16</v>
      </c>
      <c r="AL39" s="18">
        <v>5</v>
      </c>
      <c r="AM39" s="18">
        <v>2024</v>
      </c>
      <c r="AN39" s="18"/>
      <c r="AO39" s="20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</row>
    <row r="40" spans="1:91" ht="35.1" customHeight="1" x14ac:dyDescent="0.25">
      <c r="A40" s="86"/>
      <c r="B40" s="87"/>
      <c r="C40" s="4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21">
        <f>AD39+1</f>
        <v>46215</v>
      </c>
      <c r="Y40" s="22">
        <f t="shared" ref="Y40:AD40" si="1">X40+1</f>
        <v>46216</v>
      </c>
      <c r="Z40" s="22">
        <f t="shared" si="1"/>
        <v>46217</v>
      </c>
      <c r="AA40" s="22">
        <f t="shared" si="1"/>
        <v>46218</v>
      </c>
      <c r="AB40" s="22">
        <f t="shared" si="1"/>
        <v>46219</v>
      </c>
      <c r="AC40" s="22">
        <f t="shared" si="1"/>
        <v>46220</v>
      </c>
      <c r="AD40" s="23">
        <f t="shared" si="1"/>
        <v>46221</v>
      </c>
      <c r="AE40" s="7"/>
      <c r="AF40" s="7"/>
      <c r="AG40" s="7"/>
      <c r="AH40" s="7"/>
      <c r="AI40" s="7"/>
      <c r="AJ40" s="1"/>
      <c r="AK40" s="17" t="s">
        <v>17</v>
      </c>
      <c r="AL40" s="18">
        <v>6</v>
      </c>
      <c r="AM40" s="18">
        <v>2025</v>
      </c>
      <c r="AN40" s="18"/>
      <c r="AO40" s="20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</row>
    <row r="41" spans="1:91" ht="35.1" customHeight="1" x14ac:dyDescent="0.25">
      <c r="A41" s="86"/>
      <c r="B41" s="87"/>
      <c r="C41" s="4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21">
        <f>AD40+1</f>
        <v>46222</v>
      </c>
      <c r="Y41" s="22">
        <f t="shared" ref="Y41:AD41" si="2">X41+1</f>
        <v>46223</v>
      </c>
      <c r="Z41" s="22">
        <f t="shared" si="2"/>
        <v>46224</v>
      </c>
      <c r="AA41" s="22">
        <f t="shared" si="2"/>
        <v>46225</v>
      </c>
      <c r="AB41" s="22">
        <f t="shared" si="2"/>
        <v>46226</v>
      </c>
      <c r="AC41" s="22">
        <f t="shared" si="2"/>
        <v>46227</v>
      </c>
      <c r="AD41" s="23">
        <f t="shared" si="2"/>
        <v>46228</v>
      </c>
      <c r="AE41" s="7"/>
      <c r="AF41" s="7"/>
      <c r="AG41" s="7"/>
      <c r="AH41" s="7"/>
      <c r="AI41" s="7"/>
      <c r="AJ41" s="1"/>
      <c r="AK41" s="17" t="s">
        <v>18</v>
      </c>
      <c r="AL41" s="18">
        <v>7</v>
      </c>
      <c r="AM41" s="18">
        <v>2026</v>
      </c>
      <c r="AN41" s="18"/>
      <c r="AO41" s="20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</row>
    <row r="42" spans="1:91" ht="35.1" customHeight="1" x14ac:dyDescent="0.25">
      <c r="A42" s="86"/>
      <c r="B42" s="87"/>
      <c r="C42" s="4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21">
        <f>AD41+1</f>
        <v>46229</v>
      </c>
      <c r="Y42" s="22">
        <f t="shared" ref="Y42:AD43" si="3">X42+1</f>
        <v>46230</v>
      </c>
      <c r="Z42" s="22">
        <f t="shared" si="3"/>
        <v>46231</v>
      </c>
      <c r="AA42" s="22">
        <f t="shared" si="3"/>
        <v>46232</v>
      </c>
      <c r="AB42" s="22">
        <f t="shared" si="3"/>
        <v>46233</v>
      </c>
      <c r="AC42" s="22">
        <f t="shared" si="3"/>
        <v>46234</v>
      </c>
      <c r="AD42" s="23">
        <f t="shared" si="3"/>
        <v>46235</v>
      </c>
      <c r="AE42" s="7"/>
      <c r="AF42" s="7"/>
      <c r="AG42" s="7"/>
      <c r="AH42" s="7"/>
      <c r="AI42" s="7"/>
      <c r="AJ42" s="1"/>
      <c r="AK42" s="17" t="s">
        <v>19</v>
      </c>
      <c r="AL42" s="18">
        <v>8</v>
      </c>
      <c r="AM42" s="18">
        <v>2027</v>
      </c>
      <c r="AN42" s="18"/>
      <c r="AO42" s="20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</row>
    <row r="43" spans="1:91" ht="35.1" customHeight="1" thickBot="1" x14ac:dyDescent="0.3">
      <c r="A43" s="86"/>
      <c r="B43" s="87"/>
      <c r="C43" s="4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24">
        <f>AD42+1</f>
        <v>46236</v>
      </c>
      <c r="Y43" s="25">
        <f t="shared" si="3"/>
        <v>46237</v>
      </c>
      <c r="Z43" s="25">
        <f t="shared" si="3"/>
        <v>46238</v>
      </c>
      <c r="AA43" s="25">
        <f t="shared" si="3"/>
        <v>46239</v>
      </c>
      <c r="AB43" s="25">
        <f t="shared" si="3"/>
        <v>46240</v>
      </c>
      <c r="AC43" s="25">
        <f t="shared" si="3"/>
        <v>46241</v>
      </c>
      <c r="AD43" s="26">
        <f t="shared" si="3"/>
        <v>46242</v>
      </c>
      <c r="AE43" s="7"/>
      <c r="AF43" s="7"/>
      <c r="AG43" s="7"/>
      <c r="AH43" s="7"/>
      <c r="AI43" s="7"/>
      <c r="AJ43" s="1"/>
      <c r="AK43" s="17" t="s">
        <v>20</v>
      </c>
      <c r="AL43" s="18">
        <v>9</v>
      </c>
      <c r="AM43" s="18">
        <v>2028</v>
      </c>
      <c r="AN43" s="18"/>
      <c r="AO43" s="20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</row>
    <row r="44" spans="1:91" ht="30" customHeight="1" x14ac:dyDescent="0.25">
      <c r="A44" s="86"/>
      <c r="B44" s="87"/>
      <c r="C44" s="4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1"/>
      <c r="AK44" s="17" t="s">
        <v>21</v>
      </c>
      <c r="AL44" s="18">
        <v>10</v>
      </c>
      <c r="AM44" s="18">
        <v>2029</v>
      </c>
      <c r="AN44" s="18"/>
      <c r="AO44" s="20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</row>
    <row r="45" spans="1:91" ht="30" customHeight="1" x14ac:dyDescent="0.25">
      <c r="A45" s="86"/>
      <c r="B45" s="8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1"/>
      <c r="AK45" s="17" t="s">
        <v>22</v>
      </c>
      <c r="AL45" s="18">
        <v>11</v>
      </c>
      <c r="AM45" s="18">
        <v>2030</v>
      </c>
      <c r="AN45" s="18"/>
      <c r="AO45" s="20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</row>
    <row r="46" spans="1:91" ht="30" customHeight="1" x14ac:dyDescent="0.25">
      <c r="A46" s="86"/>
      <c r="B46" s="8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1"/>
      <c r="AK46" s="17" t="s">
        <v>23</v>
      </c>
      <c r="AL46" s="18">
        <v>12</v>
      </c>
      <c r="AM46" s="18">
        <v>2031</v>
      </c>
      <c r="AN46" s="18"/>
      <c r="AO46" s="18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</row>
    <row r="47" spans="1:91" ht="54.75" customHeight="1" x14ac:dyDescent="0.35">
      <c r="A47" s="86"/>
      <c r="B47" s="87"/>
      <c r="C47" s="103" t="s">
        <v>1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  <c r="AF47" s="104"/>
      <c r="AG47" s="104"/>
      <c r="AH47" s="104"/>
      <c r="AI47" s="104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</row>
    <row r="48" spans="1:9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</row>
    <row r="49" spans="1:9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</row>
    <row r="50" spans="1:9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</row>
    <row r="51" spans="1:9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</row>
    <row r="52" spans="1:9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</row>
    <row r="53" spans="1:9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</row>
    <row r="54" spans="1:9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</row>
    <row r="55" spans="1:9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</row>
    <row r="56" spans="1:9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</row>
    <row r="57" spans="1:9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</row>
    <row r="58" spans="1:9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</row>
    <row r="59" spans="1:9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</row>
    <row r="60" spans="1:9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</row>
    <row r="61" spans="1:9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</row>
    <row r="62" spans="1:9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</row>
    <row r="63" spans="1:9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</row>
    <row r="64" spans="1:9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</row>
    <row r="65" spans="1:9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</row>
    <row r="66" spans="1:9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</row>
    <row r="67" spans="1:9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</row>
    <row r="68" spans="1:9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</row>
    <row r="69" spans="1:9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</row>
    <row r="70" spans="1:9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</row>
    <row r="71" spans="1:9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</row>
    <row r="72" spans="1:9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</row>
    <row r="73" spans="1:9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</row>
    <row r="74" spans="1:9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</row>
    <row r="75" spans="1:9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</row>
    <row r="76" spans="1:9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</row>
    <row r="77" spans="1:9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</row>
    <row r="78" spans="1:9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</row>
    <row r="79" spans="1:9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</row>
    <row r="80" spans="1:9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</row>
    <row r="81" spans="1:9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</row>
    <row r="82" spans="1:9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</row>
    <row r="83" spans="1:9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</row>
    <row r="84" spans="1:9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</row>
    <row r="85" spans="1:9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</row>
    <row r="86" spans="1:9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</row>
    <row r="87" spans="1:9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</row>
    <row r="88" spans="1:9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</row>
    <row r="89" spans="1:9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</row>
    <row r="90" spans="1:9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</row>
    <row r="91" spans="1:9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</row>
    <row r="92" spans="1:9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</row>
    <row r="93" spans="1:9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</row>
    <row r="94" spans="1:9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</row>
    <row r="95" spans="1:9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</row>
    <row r="96" spans="1:9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</row>
    <row r="97" spans="1:9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</row>
    <row r="98" spans="1:9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</row>
    <row r="99" spans="1:9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</row>
    <row r="100" spans="1:9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</row>
    <row r="101" spans="1:9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</row>
    <row r="102" spans="1:9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</row>
    <row r="103" spans="1:9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</row>
    <row r="104" spans="1:9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</row>
    <row r="105" spans="1:9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</row>
    <row r="106" spans="1:9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</row>
    <row r="107" spans="1:9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</row>
    <row r="108" spans="1:9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</row>
    <row r="109" spans="1:9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</row>
    <row r="110" spans="1:9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</row>
    <row r="111" spans="1:9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</row>
    <row r="112" spans="1:9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</row>
    <row r="113" spans="1:9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</row>
    <row r="114" spans="1:9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</row>
    <row r="115" spans="1:9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</row>
    <row r="116" spans="1:9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</row>
    <row r="117" spans="1:9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</row>
    <row r="118" spans="1:9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</row>
    <row r="119" spans="1:9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</row>
    <row r="120" spans="1:9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</row>
    <row r="121" spans="1:9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</row>
    <row r="122" spans="1:9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</row>
    <row r="123" spans="1:9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</row>
    <row r="124" spans="1:9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</row>
    <row r="125" spans="1:9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</row>
    <row r="126" spans="1:9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</row>
    <row r="127" spans="1:9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</row>
    <row r="128" spans="1:9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</row>
    <row r="129" spans="1:9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</row>
    <row r="130" spans="1:9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</row>
    <row r="131" spans="1:9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</row>
    <row r="132" spans="1:9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</row>
    <row r="133" spans="1:9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</row>
    <row r="134" spans="1:9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</row>
    <row r="135" spans="1:9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</row>
    <row r="136" spans="1:9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</row>
    <row r="137" spans="1:9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</row>
    <row r="138" spans="1:9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</row>
    <row r="139" spans="1:9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</row>
    <row r="140" spans="1:9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</row>
    <row r="141" spans="1:9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</row>
    <row r="142" spans="1:9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</row>
    <row r="143" spans="1:9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</row>
    <row r="144" spans="1:9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</row>
    <row r="145" spans="1:9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</row>
    <row r="146" spans="1:9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</row>
    <row r="147" spans="1:9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</row>
    <row r="148" spans="1:9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</row>
    <row r="149" spans="1:9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</row>
    <row r="150" spans="1:9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</row>
    <row r="151" spans="1:9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</row>
    <row r="152" spans="1:9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</row>
    <row r="153" spans="1:9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</row>
    <row r="154" spans="1:9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</row>
    <row r="155" spans="1:9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</row>
    <row r="156" spans="1:9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</row>
    <row r="157" spans="1:9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</row>
    <row r="158" spans="1:9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</row>
    <row r="159" spans="1:9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</row>
    <row r="160" spans="1:9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</row>
    <row r="161" spans="1:9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</row>
    <row r="162" spans="1:9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</row>
    <row r="163" spans="1:9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</row>
    <row r="164" spans="1:9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</row>
    <row r="165" spans="1:9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</row>
    <row r="166" spans="1:9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</row>
    <row r="167" spans="1:9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</row>
    <row r="168" spans="1:9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</row>
    <row r="169" spans="1:9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</row>
    <row r="170" spans="1:9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</row>
    <row r="171" spans="1:9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</row>
    <row r="172" spans="1:9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</row>
    <row r="173" spans="1:9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</row>
    <row r="174" spans="1:9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</row>
    <row r="175" spans="1:9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</row>
    <row r="176" spans="1:9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</row>
    <row r="177" spans="1:9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</row>
    <row r="178" spans="1:9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</row>
    <row r="179" spans="1:9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</row>
    <row r="180" spans="1:9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</row>
    <row r="181" spans="1:9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</row>
    <row r="182" spans="1:9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</row>
    <row r="183" spans="1:9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</row>
    <row r="184" spans="1:9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</row>
    <row r="185" spans="1:9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</row>
    <row r="186" spans="1:9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</row>
    <row r="187" spans="1:9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</row>
    <row r="188" spans="1:9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</row>
    <row r="189" spans="1:9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</row>
    <row r="190" spans="1:9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</row>
    <row r="191" spans="1:9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</row>
    <row r="192" spans="1:9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</row>
    <row r="193" spans="1:9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</row>
    <row r="194" spans="1:9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</row>
    <row r="195" spans="1:9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</row>
    <row r="196" spans="1:9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</row>
    <row r="197" spans="1:9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</row>
    <row r="198" spans="1:9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</row>
    <row r="199" spans="1:9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</row>
    <row r="200" spans="1:9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</row>
    <row r="201" spans="1:9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</row>
    <row r="202" spans="1:9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</row>
    <row r="203" spans="1:9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</row>
    <row r="204" spans="1:9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</row>
    <row r="205" spans="1:9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</row>
    <row r="206" spans="1:9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</row>
    <row r="207" spans="1:9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</row>
    <row r="208" spans="1:9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</row>
    <row r="209" spans="1:9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</row>
    <row r="210" spans="1:9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</row>
    <row r="211" spans="1:9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</row>
    <row r="212" spans="1:9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</row>
    <row r="213" spans="1:9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</row>
    <row r="214" spans="1:9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</row>
    <row r="215" spans="1:9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</row>
    <row r="216" spans="1:9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</row>
    <row r="217" spans="1:9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</row>
    <row r="218" spans="1:9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</row>
    <row r="219" spans="1:9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</row>
    <row r="220" spans="1:9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</row>
    <row r="221" spans="1:9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</row>
    <row r="222" spans="1:9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</row>
    <row r="223" spans="1:9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</row>
    <row r="224" spans="1:9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</row>
    <row r="225" spans="1:9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</row>
    <row r="226" spans="1:9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</row>
    <row r="227" spans="1:9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</row>
    <row r="228" spans="1:9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</row>
    <row r="229" spans="1:9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</row>
    <row r="230" spans="1:9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</row>
    <row r="231" spans="1:9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</row>
    <row r="232" spans="1:9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</row>
    <row r="233" spans="1:9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</row>
    <row r="234" spans="1:9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</row>
    <row r="235" spans="1:9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</row>
    <row r="236" spans="1:9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</row>
    <row r="237" spans="1:9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</row>
    <row r="238" spans="1:9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</row>
    <row r="239" spans="1:9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</row>
    <row r="240" spans="1:9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</row>
    <row r="241" spans="1:9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</row>
    <row r="242" spans="1:9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</row>
    <row r="243" spans="1:9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</row>
    <row r="244" spans="1:9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</row>
    <row r="245" spans="1:9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</row>
    <row r="246" spans="1:9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</row>
    <row r="247" spans="1:9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</row>
    <row r="248" spans="1:9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</row>
    <row r="249" spans="1:9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</row>
    <row r="250" spans="1:9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</row>
    <row r="251" spans="1:9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</row>
    <row r="252" spans="1:9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</row>
    <row r="253" spans="1:9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</row>
    <row r="254" spans="1:9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</row>
    <row r="255" spans="1:9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</row>
    <row r="256" spans="1:9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</row>
    <row r="257" spans="1:9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</row>
    <row r="258" spans="1:9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</row>
    <row r="259" spans="1:9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</row>
    <row r="260" spans="1:9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</row>
    <row r="261" spans="1:9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</row>
    <row r="262" spans="1:9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</row>
    <row r="263" spans="1:9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</row>
    <row r="264" spans="1:9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</row>
    <row r="265" spans="1:9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</row>
    <row r="266" spans="1:9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</row>
    <row r="267" spans="1:9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</row>
    <row r="268" spans="1:9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</row>
    <row r="269" spans="1:9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</row>
    <row r="270" spans="1:9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</row>
    <row r="271" spans="1:9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</row>
    <row r="272" spans="1:9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</row>
    <row r="273" spans="1:9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</row>
    <row r="274" spans="1:9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</row>
    <row r="275" spans="1:9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</row>
    <row r="276" spans="1:9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</row>
    <row r="277" spans="1:9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</row>
    <row r="278" spans="1:9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</row>
    <row r="279" spans="1:9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</row>
    <row r="280" spans="1:9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</row>
    <row r="281" spans="1:9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</row>
    <row r="282" spans="1:9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</row>
    <row r="283" spans="1:9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</row>
    <row r="284" spans="1:9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</row>
    <row r="285" spans="1:9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</row>
    <row r="286" spans="1:9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</row>
    <row r="287" spans="1:9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</row>
    <row r="288" spans="1:9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</row>
    <row r="289" spans="1:9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</row>
    <row r="290" spans="1:9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</row>
    <row r="291" spans="1:9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</row>
    <row r="292" spans="1:9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</row>
    <row r="293" spans="1:9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</row>
  </sheetData>
  <sheetProtection selectLockedCells="1" selectUnlockedCells="1"/>
  <mergeCells count="4">
    <mergeCell ref="AB36:AD36"/>
    <mergeCell ref="X36:AA36"/>
    <mergeCell ref="A1:B47"/>
    <mergeCell ref="C47:AI47"/>
  </mergeCells>
  <conditionalFormatting sqref="X38:AD43">
    <cfRule type="cellIs" dxfId="2" priority="1" operator="greaterThan">
      <formula>$AO$36</formula>
    </cfRule>
    <cfRule type="cellIs" dxfId="1" priority="2" operator="lessThan">
      <formula>$AO$35</formula>
    </cfRule>
    <cfRule type="cellIs" dxfId="0" priority="3" operator="equal">
      <formula>TODAY()</formula>
    </cfRule>
  </conditionalFormatting>
  <dataValidations count="2">
    <dataValidation type="list" allowBlank="1" showInputMessage="1" showErrorMessage="1" sqref="X36:AA36">
      <formula1>$AK$35:$AK$46</formula1>
    </dataValidation>
    <dataValidation type="list" allowBlank="1" showInputMessage="1" showErrorMessage="1" sqref="AB36:AD36">
      <formula1>$AM$35:$AM$46</formula1>
    </dataValidation>
  </dataValidations>
  <pageMargins left="0.70866141732283472" right="0.70866141732283472" top="0.74803149606299213" bottom="0.74803149606299213" header="0.31496062992125984" footer="0.31496062992125984"/>
  <pageSetup paperSize="9" scale="33" orientation="landscape" horizontalDpi="4294967293" verticalDpi="0" r:id="rId1"/>
  <ignoredErrors>
    <ignoredError sqref="X39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/>
  <dimension ref="A1:B54"/>
  <sheetViews>
    <sheetView zoomScale="55" zoomScaleNormal="55" workbookViewId="0">
      <selection sqref="A1:B54"/>
    </sheetView>
  </sheetViews>
  <sheetFormatPr defaultRowHeight="15" x14ac:dyDescent="0.25"/>
  <cols>
    <col min="2" max="2" width="36.140625" customWidth="1"/>
  </cols>
  <sheetData>
    <row r="1" spans="1:2" ht="88.5" customHeight="1" x14ac:dyDescent="0.25">
      <c r="A1" s="86"/>
      <c r="B1" s="87"/>
    </row>
    <row r="2" spans="1:2" x14ac:dyDescent="0.25">
      <c r="A2" s="86"/>
      <c r="B2" s="87"/>
    </row>
    <row r="3" spans="1:2" x14ac:dyDescent="0.25">
      <c r="A3" s="86"/>
      <c r="B3" s="87"/>
    </row>
    <row r="4" spans="1:2" x14ac:dyDescent="0.25">
      <c r="A4" s="86"/>
      <c r="B4" s="87"/>
    </row>
    <row r="5" spans="1:2" x14ac:dyDescent="0.25">
      <c r="A5" s="86"/>
      <c r="B5" s="87"/>
    </row>
    <row r="6" spans="1:2" x14ac:dyDescent="0.25">
      <c r="A6" s="86"/>
      <c r="B6" s="87"/>
    </row>
    <row r="7" spans="1:2" x14ac:dyDescent="0.25">
      <c r="A7" s="86"/>
      <c r="B7" s="87"/>
    </row>
    <row r="8" spans="1:2" x14ac:dyDescent="0.25">
      <c r="A8" s="86"/>
      <c r="B8" s="87"/>
    </row>
    <row r="9" spans="1:2" x14ac:dyDescent="0.25">
      <c r="A9" s="86"/>
      <c r="B9" s="87"/>
    </row>
    <row r="10" spans="1:2" x14ac:dyDescent="0.25">
      <c r="A10" s="86"/>
      <c r="B10" s="87"/>
    </row>
    <row r="11" spans="1:2" x14ac:dyDescent="0.25">
      <c r="A11" s="86"/>
      <c r="B11" s="87"/>
    </row>
    <row r="12" spans="1:2" x14ac:dyDescent="0.25">
      <c r="A12" s="86"/>
      <c r="B12" s="87"/>
    </row>
    <row r="13" spans="1:2" x14ac:dyDescent="0.25">
      <c r="A13" s="86"/>
      <c r="B13" s="87"/>
    </row>
    <row r="14" spans="1:2" x14ac:dyDescent="0.25">
      <c r="A14" s="86"/>
      <c r="B14" s="87"/>
    </row>
    <row r="15" spans="1:2" x14ac:dyDescent="0.25">
      <c r="A15" s="86"/>
      <c r="B15" s="87"/>
    </row>
    <row r="16" spans="1:2" x14ac:dyDescent="0.25">
      <c r="A16" s="86"/>
      <c r="B16" s="87"/>
    </row>
    <row r="17" spans="1:2" x14ac:dyDescent="0.25">
      <c r="A17" s="86"/>
      <c r="B17" s="87"/>
    </row>
    <row r="18" spans="1:2" x14ac:dyDescent="0.25">
      <c r="A18" s="86"/>
      <c r="B18" s="87"/>
    </row>
    <row r="19" spans="1:2" x14ac:dyDescent="0.25">
      <c r="A19" s="86"/>
      <c r="B19" s="87"/>
    </row>
    <row r="20" spans="1:2" x14ac:dyDescent="0.25">
      <c r="A20" s="86"/>
      <c r="B20" s="87"/>
    </row>
    <row r="21" spans="1:2" x14ac:dyDescent="0.25">
      <c r="A21" s="86"/>
      <c r="B21" s="87"/>
    </row>
    <row r="22" spans="1:2" x14ac:dyDescent="0.25">
      <c r="A22" s="86"/>
      <c r="B22" s="87"/>
    </row>
    <row r="23" spans="1:2" x14ac:dyDescent="0.25">
      <c r="A23" s="86"/>
      <c r="B23" s="87"/>
    </row>
    <row r="24" spans="1:2" x14ac:dyDescent="0.25">
      <c r="A24" s="86"/>
      <c r="B24" s="87"/>
    </row>
    <row r="25" spans="1:2" x14ac:dyDescent="0.25">
      <c r="A25" s="86"/>
      <c r="B25" s="87"/>
    </row>
    <row r="26" spans="1:2" x14ac:dyDescent="0.25">
      <c r="A26" s="86"/>
      <c r="B26" s="87"/>
    </row>
    <row r="27" spans="1:2" x14ac:dyDescent="0.25">
      <c r="A27" s="86"/>
      <c r="B27" s="87"/>
    </row>
    <row r="28" spans="1:2" x14ac:dyDescent="0.25">
      <c r="A28" s="86"/>
      <c r="B28" s="87"/>
    </row>
    <row r="29" spans="1:2" x14ac:dyDescent="0.25">
      <c r="A29" s="86"/>
      <c r="B29" s="87"/>
    </row>
    <row r="30" spans="1:2" x14ac:dyDescent="0.25">
      <c r="A30" s="86"/>
      <c r="B30" s="87"/>
    </row>
    <row r="31" spans="1:2" x14ac:dyDescent="0.25">
      <c r="A31" s="86"/>
      <c r="B31" s="87"/>
    </row>
    <row r="32" spans="1:2" x14ac:dyDescent="0.25">
      <c r="A32" s="86"/>
      <c r="B32" s="87"/>
    </row>
    <row r="33" spans="1:2" x14ac:dyDescent="0.25">
      <c r="A33" s="86"/>
      <c r="B33" s="87"/>
    </row>
    <row r="34" spans="1:2" x14ac:dyDescent="0.25">
      <c r="A34" s="86"/>
      <c r="B34" s="87"/>
    </row>
    <row r="35" spans="1:2" x14ac:dyDescent="0.25">
      <c r="A35" s="86"/>
      <c r="B35" s="87"/>
    </row>
    <row r="36" spans="1:2" x14ac:dyDescent="0.25">
      <c r="A36" s="86"/>
      <c r="B36" s="87"/>
    </row>
    <row r="37" spans="1:2" x14ac:dyDescent="0.25">
      <c r="A37" s="86"/>
      <c r="B37" s="87"/>
    </row>
    <row r="38" spans="1:2" x14ac:dyDescent="0.25">
      <c r="A38" s="86"/>
      <c r="B38" s="87"/>
    </row>
    <row r="39" spans="1:2" x14ac:dyDescent="0.25">
      <c r="A39" s="86"/>
      <c r="B39" s="87"/>
    </row>
    <row r="40" spans="1:2" x14ac:dyDescent="0.25">
      <c r="A40" s="86"/>
      <c r="B40" s="87"/>
    </row>
    <row r="41" spans="1:2" x14ac:dyDescent="0.25">
      <c r="A41" s="86"/>
      <c r="B41" s="87"/>
    </row>
    <row r="42" spans="1:2" x14ac:dyDescent="0.25">
      <c r="A42" s="86"/>
      <c r="B42" s="87"/>
    </row>
    <row r="43" spans="1:2" x14ac:dyDescent="0.25">
      <c r="A43" s="86"/>
      <c r="B43" s="87"/>
    </row>
    <row r="44" spans="1:2" x14ac:dyDescent="0.25">
      <c r="A44" s="86"/>
      <c r="B44" s="87"/>
    </row>
    <row r="45" spans="1:2" x14ac:dyDescent="0.25">
      <c r="A45" s="86"/>
      <c r="B45" s="87"/>
    </row>
    <row r="46" spans="1:2" x14ac:dyDescent="0.25">
      <c r="A46" s="86"/>
      <c r="B46" s="87"/>
    </row>
    <row r="47" spans="1:2" x14ac:dyDescent="0.25">
      <c r="A47" s="86"/>
      <c r="B47" s="87"/>
    </row>
    <row r="48" spans="1:2" x14ac:dyDescent="0.25">
      <c r="A48" s="86"/>
      <c r="B48" s="87"/>
    </row>
    <row r="49" spans="1:2" x14ac:dyDescent="0.25">
      <c r="A49" s="86"/>
      <c r="B49" s="87"/>
    </row>
    <row r="50" spans="1:2" x14ac:dyDescent="0.25">
      <c r="A50" s="86"/>
      <c r="B50" s="87"/>
    </row>
    <row r="51" spans="1:2" x14ac:dyDescent="0.25">
      <c r="A51" s="86"/>
      <c r="B51" s="87"/>
    </row>
    <row r="52" spans="1:2" x14ac:dyDescent="0.25">
      <c r="A52" s="86"/>
      <c r="B52" s="87"/>
    </row>
    <row r="53" spans="1:2" x14ac:dyDescent="0.25">
      <c r="A53" s="86"/>
      <c r="B53" s="87"/>
    </row>
    <row r="54" spans="1:2" x14ac:dyDescent="0.25">
      <c r="A54" s="86"/>
      <c r="B54" s="87"/>
    </row>
  </sheetData>
  <mergeCells count="1">
    <mergeCell ref="A1:B54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133"/>
  <sheetViews>
    <sheetView topLeftCell="A54" zoomScale="85" zoomScaleNormal="85" zoomScaleSheetLayoutView="70" workbookViewId="0">
      <selection activeCell="I94" sqref="I94"/>
    </sheetView>
  </sheetViews>
  <sheetFormatPr defaultRowHeight="15" x14ac:dyDescent="0.25"/>
  <cols>
    <col min="1" max="1" width="4.140625" style="30" customWidth="1"/>
    <col min="2" max="2" width="8.7109375" style="30" customWidth="1"/>
    <col min="3" max="3" width="34.42578125" style="30" customWidth="1"/>
    <col min="4" max="4" width="9.42578125" style="30" customWidth="1"/>
    <col min="5" max="5" width="12" style="57" bestFit="1" customWidth="1"/>
    <col min="6" max="6" width="56.7109375" style="57" bestFit="1" customWidth="1"/>
    <col min="7" max="7" width="10" style="57" bestFit="1" customWidth="1"/>
    <col min="8" max="9" width="31.28515625" style="30" customWidth="1"/>
    <col min="10" max="10" width="14.28515625" style="57" bestFit="1" customWidth="1"/>
    <col min="11" max="11" width="20.5703125" style="57" bestFit="1" customWidth="1"/>
    <col min="12" max="16384" width="9.140625" style="30"/>
  </cols>
  <sheetData>
    <row r="1" spans="2:11" ht="15.75" x14ac:dyDescent="0.25">
      <c r="B1" s="28" t="s">
        <v>45</v>
      </c>
      <c r="C1" s="28" t="s">
        <v>46</v>
      </c>
      <c r="E1" s="105" t="s">
        <v>143</v>
      </c>
      <c r="F1" s="105"/>
      <c r="G1" s="105"/>
      <c r="H1" s="105"/>
      <c r="I1" s="105"/>
      <c r="J1" s="105"/>
      <c r="K1" s="105"/>
    </row>
    <row r="2" spans="2:11" ht="15.75" x14ac:dyDescent="0.25">
      <c r="B2" s="29">
        <v>4</v>
      </c>
      <c r="C2" s="28"/>
      <c r="E2" s="45" t="s">
        <v>144</v>
      </c>
      <c r="F2" s="45" t="s">
        <v>46</v>
      </c>
      <c r="G2" s="45" t="s">
        <v>145</v>
      </c>
      <c r="H2" s="106" t="s">
        <v>146</v>
      </c>
      <c r="I2" s="107"/>
      <c r="J2" s="45" t="s">
        <v>147</v>
      </c>
      <c r="K2" s="45" t="s">
        <v>148</v>
      </c>
    </row>
    <row r="3" spans="2:11" x14ac:dyDescent="0.25">
      <c r="B3" s="29">
        <v>29</v>
      </c>
      <c r="C3" s="28" t="s">
        <v>142</v>
      </c>
      <c r="E3" s="46">
        <v>29</v>
      </c>
      <c r="F3" s="46" t="s">
        <v>149</v>
      </c>
      <c r="G3" s="47">
        <v>8</v>
      </c>
      <c r="H3" s="59"/>
      <c r="I3" s="59"/>
      <c r="J3" s="46" t="s">
        <v>109</v>
      </c>
      <c r="K3" s="48" t="s">
        <v>150</v>
      </c>
    </row>
    <row r="4" spans="2:11" x14ac:dyDescent="0.25">
      <c r="B4" s="29">
        <v>36</v>
      </c>
      <c r="C4" s="28"/>
      <c r="E4" s="46">
        <v>36</v>
      </c>
      <c r="F4" s="46" t="s">
        <v>151</v>
      </c>
      <c r="G4" s="47">
        <v>32</v>
      </c>
      <c r="H4" s="59" t="s">
        <v>310</v>
      </c>
      <c r="I4" s="59" t="s">
        <v>310</v>
      </c>
      <c r="J4" s="46" t="s">
        <v>152</v>
      </c>
      <c r="K4" s="48" t="s">
        <v>150</v>
      </c>
    </row>
    <row r="5" spans="2:11" x14ac:dyDescent="0.25">
      <c r="B5" s="29">
        <v>37</v>
      </c>
      <c r="C5" s="28"/>
      <c r="E5" s="46">
        <v>37</v>
      </c>
      <c r="F5" s="46" t="s">
        <v>153</v>
      </c>
      <c r="G5" s="47">
        <v>28</v>
      </c>
      <c r="H5" s="59" t="s">
        <v>310</v>
      </c>
      <c r="I5" s="59" t="s">
        <v>310</v>
      </c>
      <c r="J5" s="46" t="s">
        <v>154</v>
      </c>
      <c r="K5" s="48" t="s">
        <v>150</v>
      </c>
    </row>
    <row r="6" spans="2:11" x14ac:dyDescent="0.25">
      <c r="B6" s="29">
        <v>61</v>
      </c>
      <c r="C6" s="28"/>
      <c r="E6" s="46">
        <v>61</v>
      </c>
      <c r="F6" s="46" t="s">
        <v>155</v>
      </c>
      <c r="G6" s="47">
        <v>1</v>
      </c>
      <c r="H6" s="59" t="s">
        <v>308</v>
      </c>
      <c r="I6" s="59" t="s">
        <v>321</v>
      </c>
      <c r="J6" s="46" t="s">
        <v>109</v>
      </c>
      <c r="K6" s="48" t="s">
        <v>150</v>
      </c>
    </row>
    <row r="7" spans="2:11" x14ac:dyDescent="0.25">
      <c r="B7" s="29">
        <v>69</v>
      </c>
      <c r="C7" s="28" t="s">
        <v>98</v>
      </c>
      <c r="E7" s="46">
        <v>69</v>
      </c>
      <c r="F7" s="46" t="s">
        <v>156</v>
      </c>
      <c r="G7" s="47">
        <v>8</v>
      </c>
      <c r="H7" s="59" t="s">
        <v>310</v>
      </c>
      <c r="I7" s="59" t="s">
        <v>310</v>
      </c>
      <c r="J7" s="46" t="s">
        <v>157</v>
      </c>
      <c r="K7" s="48" t="s">
        <v>150</v>
      </c>
    </row>
    <row r="8" spans="2:11" x14ac:dyDescent="0.25">
      <c r="B8" s="29">
        <v>80</v>
      </c>
      <c r="C8" s="28" t="s">
        <v>57</v>
      </c>
      <c r="E8" s="46">
        <v>89</v>
      </c>
      <c r="F8" s="46" t="s">
        <v>158</v>
      </c>
      <c r="G8" s="47">
        <v>16</v>
      </c>
      <c r="H8" s="59" t="s">
        <v>310</v>
      </c>
      <c r="I8" s="59" t="s">
        <v>310</v>
      </c>
      <c r="J8" s="46">
        <v>2378</v>
      </c>
      <c r="K8" s="49" t="s">
        <v>159</v>
      </c>
    </row>
    <row r="9" spans="2:11" x14ac:dyDescent="0.25">
      <c r="B9" s="29">
        <v>81</v>
      </c>
      <c r="C9" s="28"/>
      <c r="E9" s="46">
        <v>97</v>
      </c>
      <c r="F9" s="46" t="s">
        <v>160</v>
      </c>
      <c r="G9" s="47">
        <v>64</v>
      </c>
      <c r="H9" s="59" t="s">
        <v>319</v>
      </c>
      <c r="I9" s="59" t="s">
        <v>322</v>
      </c>
      <c r="J9" s="46" t="s">
        <v>161</v>
      </c>
      <c r="K9" s="50" t="s">
        <v>162</v>
      </c>
    </row>
    <row r="10" spans="2:11" x14ac:dyDescent="0.25">
      <c r="B10" s="29">
        <v>89</v>
      </c>
      <c r="C10" s="28" t="s">
        <v>99</v>
      </c>
      <c r="E10" s="46">
        <v>98</v>
      </c>
      <c r="F10" s="46" t="s">
        <v>163</v>
      </c>
      <c r="G10" s="47">
        <v>64</v>
      </c>
      <c r="H10" s="59" t="s">
        <v>308</v>
      </c>
      <c r="I10" s="59" t="s">
        <v>321</v>
      </c>
      <c r="J10" s="46" t="s">
        <v>164</v>
      </c>
      <c r="K10" s="50" t="s">
        <v>162</v>
      </c>
    </row>
    <row r="11" spans="2:11" x14ac:dyDescent="0.25">
      <c r="B11" s="29">
        <v>97</v>
      </c>
      <c r="C11" s="28" t="s">
        <v>76</v>
      </c>
      <c r="E11" s="46">
        <v>101</v>
      </c>
      <c r="F11" s="46" t="s">
        <v>165</v>
      </c>
      <c r="G11" s="47">
        <v>64</v>
      </c>
      <c r="H11" s="59" t="s">
        <v>308</v>
      </c>
      <c r="I11" s="59" t="s">
        <v>321</v>
      </c>
      <c r="J11" s="46" t="s">
        <v>166</v>
      </c>
      <c r="K11" s="50" t="s">
        <v>162</v>
      </c>
    </row>
    <row r="12" spans="2:11" x14ac:dyDescent="0.25">
      <c r="B12" s="29">
        <v>98</v>
      </c>
      <c r="C12" s="28" t="s">
        <v>61</v>
      </c>
      <c r="E12" s="46">
        <v>107</v>
      </c>
      <c r="F12" s="46" t="s">
        <v>167</v>
      </c>
      <c r="G12" s="47">
        <v>64</v>
      </c>
      <c r="H12" s="59" t="s">
        <v>308</v>
      </c>
      <c r="I12" s="59" t="s">
        <v>321</v>
      </c>
      <c r="J12" s="46" t="s">
        <v>168</v>
      </c>
      <c r="K12" s="51" t="s">
        <v>169</v>
      </c>
    </row>
    <row r="13" spans="2:11" x14ac:dyDescent="0.25">
      <c r="B13" s="29">
        <v>101</v>
      </c>
      <c r="C13" s="28" t="s">
        <v>63</v>
      </c>
      <c r="E13" s="46">
        <v>109</v>
      </c>
      <c r="F13" s="46" t="s">
        <v>170</v>
      </c>
      <c r="G13" s="47">
        <v>48</v>
      </c>
      <c r="H13" s="59" t="s">
        <v>308</v>
      </c>
      <c r="I13" s="59" t="s">
        <v>321</v>
      </c>
      <c r="J13" s="46">
        <v>112</v>
      </c>
      <c r="K13" s="52" t="s">
        <v>171</v>
      </c>
    </row>
    <row r="14" spans="2:11" x14ac:dyDescent="0.25">
      <c r="B14" s="29">
        <v>102</v>
      </c>
      <c r="C14" s="28" t="s">
        <v>73</v>
      </c>
      <c r="E14" s="46">
        <v>110</v>
      </c>
      <c r="F14" s="46" t="s">
        <v>172</v>
      </c>
      <c r="G14" s="47">
        <v>48</v>
      </c>
      <c r="H14" s="59" t="s">
        <v>316</v>
      </c>
      <c r="I14" s="59" t="s">
        <v>321</v>
      </c>
      <c r="J14" s="46">
        <v>110</v>
      </c>
      <c r="K14" s="52" t="s">
        <v>171</v>
      </c>
    </row>
    <row r="15" spans="2:11" x14ac:dyDescent="0.25">
      <c r="B15" s="29">
        <v>107</v>
      </c>
      <c r="C15" s="28" t="s">
        <v>93</v>
      </c>
      <c r="E15" s="46">
        <v>117</v>
      </c>
      <c r="F15" s="46" t="s">
        <v>173</v>
      </c>
      <c r="G15" s="47">
        <v>64</v>
      </c>
      <c r="H15" s="59" t="s">
        <v>308</v>
      </c>
      <c r="I15" s="59" t="s">
        <v>321</v>
      </c>
      <c r="J15" s="46" t="s">
        <v>174</v>
      </c>
      <c r="K15" s="50" t="s">
        <v>162</v>
      </c>
    </row>
    <row r="16" spans="2:11" x14ac:dyDescent="0.25">
      <c r="B16" s="29">
        <v>108</v>
      </c>
      <c r="C16" s="28" t="s">
        <v>62</v>
      </c>
      <c r="E16" s="46">
        <v>121</v>
      </c>
      <c r="F16" s="46" t="s">
        <v>175</v>
      </c>
      <c r="G16" s="47">
        <v>64</v>
      </c>
      <c r="H16" s="59" t="s">
        <v>308</v>
      </c>
      <c r="I16" s="59" t="s">
        <v>321</v>
      </c>
      <c r="J16" s="46" t="s">
        <v>176</v>
      </c>
      <c r="K16" s="50" t="s">
        <v>162</v>
      </c>
    </row>
    <row r="17" spans="2:11" x14ac:dyDescent="0.25">
      <c r="B17" s="29">
        <v>109</v>
      </c>
      <c r="C17" s="28" t="s">
        <v>75</v>
      </c>
      <c r="E17" s="46">
        <v>122</v>
      </c>
      <c r="F17" s="46" t="s">
        <v>177</v>
      </c>
      <c r="G17" s="47">
        <v>48</v>
      </c>
      <c r="H17" s="59" t="s">
        <v>316</v>
      </c>
      <c r="I17" s="59" t="s">
        <v>321</v>
      </c>
      <c r="J17" s="46" t="s">
        <v>178</v>
      </c>
      <c r="K17" s="50" t="s">
        <v>162</v>
      </c>
    </row>
    <row r="18" spans="2:11" x14ac:dyDescent="0.25">
      <c r="B18" s="29">
        <v>110</v>
      </c>
      <c r="C18" s="28" t="s">
        <v>96</v>
      </c>
      <c r="E18" s="46">
        <v>128</v>
      </c>
      <c r="F18" s="46" t="s">
        <v>179</v>
      </c>
      <c r="G18" s="47">
        <v>1</v>
      </c>
      <c r="H18" s="59" t="s">
        <v>308</v>
      </c>
      <c r="I18" s="59" t="s">
        <v>321</v>
      </c>
      <c r="J18" s="46" t="s">
        <v>180</v>
      </c>
      <c r="K18" s="53" t="s">
        <v>181</v>
      </c>
    </row>
    <row r="19" spans="2:11" x14ac:dyDescent="0.25">
      <c r="B19" s="29">
        <v>115</v>
      </c>
      <c r="C19" s="28" t="s">
        <v>62</v>
      </c>
      <c r="E19" s="46">
        <v>129</v>
      </c>
      <c r="F19" s="46" t="s">
        <v>182</v>
      </c>
      <c r="G19" s="47">
        <v>4</v>
      </c>
      <c r="H19" s="59" t="s">
        <v>316</v>
      </c>
      <c r="I19" s="59" t="s">
        <v>321</v>
      </c>
      <c r="J19" s="46" t="s">
        <v>183</v>
      </c>
      <c r="K19" s="54" t="s">
        <v>184</v>
      </c>
    </row>
    <row r="20" spans="2:11" x14ac:dyDescent="0.25">
      <c r="B20" s="29">
        <v>116</v>
      </c>
      <c r="C20" s="28" t="s">
        <v>81</v>
      </c>
      <c r="E20" s="46">
        <v>137</v>
      </c>
      <c r="F20" s="46" t="s">
        <v>185</v>
      </c>
      <c r="G20" s="47">
        <v>8</v>
      </c>
      <c r="H20" s="59"/>
      <c r="I20" s="59"/>
      <c r="J20" s="46" t="s">
        <v>186</v>
      </c>
      <c r="K20" s="51" t="s">
        <v>169</v>
      </c>
    </row>
    <row r="21" spans="2:11" x14ac:dyDescent="0.25">
      <c r="B21" s="29">
        <v>117</v>
      </c>
      <c r="C21" s="28" t="s">
        <v>91</v>
      </c>
      <c r="E21" s="46">
        <v>139</v>
      </c>
      <c r="F21" s="46" t="s">
        <v>167</v>
      </c>
      <c r="G21" s="47">
        <v>64</v>
      </c>
      <c r="H21" s="59" t="s">
        <v>308</v>
      </c>
      <c r="I21" s="59" t="s">
        <v>321</v>
      </c>
      <c r="J21" s="46" t="s">
        <v>187</v>
      </c>
      <c r="K21" s="51" t="s">
        <v>169</v>
      </c>
    </row>
    <row r="22" spans="2:11" x14ac:dyDescent="0.25">
      <c r="B22" s="29">
        <v>118</v>
      </c>
      <c r="C22" s="28"/>
      <c r="E22" s="46">
        <v>140</v>
      </c>
      <c r="F22" s="46" t="s">
        <v>160</v>
      </c>
      <c r="G22" s="47">
        <v>64</v>
      </c>
      <c r="H22" s="59" t="s">
        <v>319</v>
      </c>
      <c r="I22" s="59" t="s">
        <v>322</v>
      </c>
      <c r="J22" s="46" t="s">
        <v>188</v>
      </c>
      <c r="K22" s="50" t="s">
        <v>162</v>
      </c>
    </row>
    <row r="23" spans="2:11" x14ac:dyDescent="0.25">
      <c r="B23" s="29">
        <v>120</v>
      </c>
      <c r="C23" s="28" t="s">
        <v>94</v>
      </c>
      <c r="E23" s="46">
        <v>146</v>
      </c>
      <c r="F23" s="46" t="s">
        <v>165</v>
      </c>
      <c r="G23" s="47">
        <v>64</v>
      </c>
      <c r="H23" s="59" t="s">
        <v>308</v>
      </c>
      <c r="I23" s="59" t="s">
        <v>321</v>
      </c>
      <c r="J23" s="46" t="s">
        <v>189</v>
      </c>
      <c r="K23" s="50" t="s">
        <v>162</v>
      </c>
    </row>
    <row r="24" spans="2:11" x14ac:dyDescent="0.25">
      <c r="B24" s="29">
        <v>121</v>
      </c>
      <c r="C24" s="28" t="s">
        <v>95</v>
      </c>
      <c r="E24" s="46">
        <v>148</v>
      </c>
      <c r="F24" s="46" t="s">
        <v>190</v>
      </c>
      <c r="G24" s="47">
        <v>64</v>
      </c>
      <c r="H24" s="59" t="s">
        <v>308</v>
      </c>
      <c r="I24" s="59" t="s">
        <v>321</v>
      </c>
      <c r="J24" s="46" t="s">
        <v>191</v>
      </c>
      <c r="K24" s="50" t="s">
        <v>162</v>
      </c>
    </row>
    <row r="25" spans="2:11" x14ac:dyDescent="0.25">
      <c r="B25" s="29">
        <v>122</v>
      </c>
      <c r="C25" s="28" t="s">
        <v>73</v>
      </c>
      <c r="E25" s="46">
        <v>150</v>
      </c>
      <c r="F25" s="46" t="s">
        <v>192</v>
      </c>
      <c r="G25" s="47">
        <v>16</v>
      </c>
      <c r="H25" s="59" t="s">
        <v>308</v>
      </c>
      <c r="I25" s="59" t="s">
        <v>321</v>
      </c>
      <c r="J25" s="46" t="s">
        <v>193</v>
      </c>
      <c r="K25" s="54" t="s">
        <v>184</v>
      </c>
    </row>
    <row r="26" spans="2:11" x14ac:dyDescent="0.25">
      <c r="B26" s="29">
        <v>124</v>
      </c>
      <c r="C26" s="28" t="s">
        <v>104</v>
      </c>
      <c r="E26" s="46">
        <v>151</v>
      </c>
      <c r="F26" s="46" t="s">
        <v>194</v>
      </c>
      <c r="G26" s="47">
        <v>16</v>
      </c>
      <c r="H26" s="59" t="s">
        <v>308</v>
      </c>
      <c r="I26" s="59" t="s">
        <v>321</v>
      </c>
      <c r="J26" s="46" t="s">
        <v>195</v>
      </c>
      <c r="K26" s="54" t="s">
        <v>184</v>
      </c>
    </row>
    <row r="27" spans="2:11" x14ac:dyDescent="0.25">
      <c r="B27" s="29">
        <v>125</v>
      </c>
      <c r="C27" s="28" t="s">
        <v>105</v>
      </c>
      <c r="E27" s="46">
        <v>152</v>
      </c>
      <c r="F27" s="46" t="s">
        <v>196</v>
      </c>
      <c r="G27" s="47">
        <v>16</v>
      </c>
      <c r="H27" s="59" t="s">
        <v>308</v>
      </c>
      <c r="I27" s="59" t="s">
        <v>321</v>
      </c>
      <c r="J27" s="46" t="s">
        <v>197</v>
      </c>
      <c r="K27" s="54" t="s">
        <v>184</v>
      </c>
    </row>
    <row r="28" spans="2:11" x14ac:dyDescent="0.25">
      <c r="B28" s="29">
        <v>126</v>
      </c>
      <c r="C28" s="28" t="s">
        <v>103</v>
      </c>
      <c r="E28" s="46">
        <v>153</v>
      </c>
      <c r="F28" s="46" t="s">
        <v>198</v>
      </c>
      <c r="G28" s="47">
        <v>16</v>
      </c>
      <c r="H28" s="59"/>
      <c r="I28" s="59"/>
      <c r="J28" s="46" t="s">
        <v>199</v>
      </c>
      <c r="K28" s="54" t="s">
        <v>184</v>
      </c>
    </row>
    <row r="29" spans="2:11" x14ac:dyDescent="0.25">
      <c r="B29" s="29">
        <v>127</v>
      </c>
      <c r="C29" s="28"/>
      <c r="E29" s="46">
        <v>154</v>
      </c>
      <c r="F29" s="46" t="s">
        <v>200</v>
      </c>
      <c r="G29" s="47">
        <v>16</v>
      </c>
      <c r="H29" s="59" t="s">
        <v>311</v>
      </c>
      <c r="I29" s="59" t="s">
        <v>311</v>
      </c>
      <c r="J29" s="46" t="s">
        <v>201</v>
      </c>
      <c r="K29" s="54" t="s">
        <v>184</v>
      </c>
    </row>
    <row r="30" spans="2:11" x14ac:dyDescent="0.25">
      <c r="B30" s="29">
        <v>128</v>
      </c>
      <c r="C30" s="28" t="s">
        <v>54</v>
      </c>
      <c r="E30" s="46">
        <v>156</v>
      </c>
      <c r="F30" s="46" t="s">
        <v>202</v>
      </c>
      <c r="G30" s="47">
        <v>16</v>
      </c>
      <c r="H30" s="59"/>
      <c r="I30" s="59"/>
      <c r="J30" s="46">
        <v>1087</v>
      </c>
      <c r="K30" s="54" t="s">
        <v>184</v>
      </c>
    </row>
    <row r="31" spans="2:11" x14ac:dyDescent="0.25">
      <c r="B31" s="29">
        <v>129</v>
      </c>
      <c r="C31" s="28" t="s">
        <v>53</v>
      </c>
      <c r="E31" s="46">
        <v>157</v>
      </c>
      <c r="F31" s="46" t="s">
        <v>203</v>
      </c>
      <c r="G31" s="47">
        <v>16</v>
      </c>
      <c r="H31" s="59" t="s">
        <v>316</v>
      </c>
      <c r="I31" s="59" t="s">
        <v>321</v>
      </c>
      <c r="J31" s="46" t="s">
        <v>204</v>
      </c>
      <c r="K31" s="53" t="s">
        <v>181</v>
      </c>
    </row>
    <row r="32" spans="2:11" x14ac:dyDescent="0.25">
      <c r="B32" s="29">
        <v>137</v>
      </c>
      <c r="C32" s="28" t="s">
        <v>101</v>
      </c>
      <c r="E32" s="46">
        <v>158</v>
      </c>
      <c r="F32" s="46" t="s">
        <v>205</v>
      </c>
      <c r="G32" s="47">
        <v>16</v>
      </c>
      <c r="H32" s="59" t="s">
        <v>310</v>
      </c>
      <c r="I32" s="59" t="s">
        <v>310</v>
      </c>
      <c r="J32" s="46" t="s">
        <v>206</v>
      </c>
      <c r="K32" s="54" t="s">
        <v>184</v>
      </c>
    </row>
    <row r="33" spans="2:11" x14ac:dyDescent="0.25">
      <c r="B33" s="29">
        <v>138</v>
      </c>
      <c r="C33" s="28" t="s">
        <v>69</v>
      </c>
      <c r="E33" s="46">
        <v>159</v>
      </c>
      <c r="F33" s="46" t="s">
        <v>207</v>
      </c>
      <c r="G33" s="47">
        <v>16</v>
      </c>
      <c r="H33" s="59" t="s">
        <v>310</v>
      </c>
      <c r="I33" s="59" t="s">
        <v>310</v>
      </c>
      <c r="J33" s="46" t="s">
        <v>208</v>
      </c>
      <c r="K33" s="54" t="s">
        <v>184</v>
      </c>
    </row>
    <row r="34" spans="2:11" x14ac:dyDescent="0.25">
      <c r="B34" s="29">
        <v>139</v>
      </c>
      <c r="C34" s="28" t="s">
        <v>93</v>
      </c>
      <c r="E34" s="46">
        <v>160</v>
      </c>
      <c r="F34" s="46" t="s">
        <v>209</v>
      </c>
      <c r="G34" s="47">
        <v>16</v>
      </c>
      <c r="H34" s="59" t="s">
        <v>308</v>
      </c>
      <c r="I34" s="59" t="s">
        <v>321</v>
      </c>
      <c r="J34" s="46" t="s">
        <v>210</v>
      </c>
      <c r="K34" s="54" t="s">
        <v>184</v>
      </c>
    </row>
    <row r="35" spans="2:11" x14ac:dyDescent="0.25">
      <c r="B35" s="29">
        <v>140</v>
      </c>
      <c r="C35" s="28" t="s">
        <v>76</v>
      </c>
      <c r="E35" s="46">
        <v>162</v>
      </c>
      <c r="F35" s="46" t="s">
        <v>211</v>
      </c>
      <c r="G35" s="47">
        <v>16</v>
      </c>
      <c r="H35" s="59" t="s">
        <v>308</v>
      </c>
      <c r="I35" s="59" t="s">
        <v>321</v>
      </c>
      <c r="J35" s="46" t="s">
        <v>212</v>
      </c>
      <c r="K35" s="54" t="s">
        <v>184</v>
      </c>
    </row>
    <row r="36" spans="2:11" x14ac:dyDescent="0.25">
      <c r="B36" s="29">
        <v>141</v>
      </c>
      <c r="C36" s="28"/>
      <c r="E36" s="46">
        <v>163</v>
      </c>
      <c r="F36" s="46" t="s">
        <v>213</v>
      </c>
      <c r="G36" s="47">
        <v>16</v>
      </c>
      <c r="H36" s="59" t="s">
        <v>308</v>
      </c>
      <c r="I36" s="59" t="s">
        <v>321</v>
      </c>
      <c r="J36" s="46" t="s">
        <v>214</v>
      </c>
      <c r="K36" s="54" t="s">
        <v>184</v>
      </c>
    </row>
    <row r="37" spans="2:11" x14ac:dyDescent="0.25">
      <c r="B37" s="29">
        <v>143</v>
      </c>
      <c r="C37" s="28" t="s">
        <v>62</v>
      </c>
      <c r="E37" s="46">
        <v>164</v>
      </c>
      <c r="F37" s="46" t="s">
        <v>215</v>
      </c>
      <c r="G37" s="47">
        <v>16</v>
      </c>
      <c r="H37" s="59" t="s">
        <v>308</v>
      </c>
      <c r="I37" s="59" t="s">
        <v>321</v>
      </c>
      <c r="J37" s="46" t="s">
        <v>216</v>
      </c>
      <c r="K37" s="54" t="s">
        <v>184</v>
      </c>
    </row>
    <row r="38" spans="2:11" x14ac:dyDescent="0.25">
      <c r="B38" s="29">
        <v>144</v>
      </c>
      <c r="C38" s="28" t="s">
        <v>94</v>
      </c>
      <c r="E38" s="46">
        <v>165</v>
      </c>
      <c r="F38" s="46" t="s">
        <v>217</v>
      </c>
      <c r="G38" s="47">
        <v>64</v>
      </c>
      <c r="H38" s="59" t="s">
        <v>312</v>
      </c>
      <c r="I38" s="59" t="s">
        <v>323</v>
      </c>
      <c r="J38" s="46" t="s">
        <v>218</v>
      </c>
      <c r="K38" s="48" t="s">
        <v>150</v>
      </c>
    </row>
    <row r="39" spans="2:11" x14ac:dyDescent="0.25">
      <c r="B39" s="29">
        <v>146</v>
      </c>
      <c r="C39" s="28" t="s">
        <v>63</v>
      </c>
      <c r="E39" s="46">
        <v>168</v>
      </c>
      <c r="F39" s="46" t="s">
        <v>163</v>
      </c>
      <c r="G39" s="47">
        <v>64</v>
      </c>
      <c r="H39" s="59" t="s">
        <v>308</v>
      </c>
      <c r="I39" s="59" t="s">
        <v>321</v>
      </c>
      <c r="J39" s="46" t="s">
        <v>219</v>
      </c>
      <c r="K39" s="54" t="s">
        <v>184</v>
      </c>
    </row>
    <row r="40" spans="2:11" x14ac:dyDescent="0.25">
      <c r="B40" s="29">
        <v>148</v>
      </c>
      <c r="C40" s="28" t="s">
        <v>74</v>
      </c>
      <c r="E40" s="46">
        <v>169</v>
      </c>
      <c r="F40" s="46" t="s">
        <v>177</v>
      </c>
      <c r="G40" s="47">
        <v>64</v>
      </c>
      <c r="H40" s="59" t="s">
        <v>316</v>
      </c>
      <c r="I40" s="59" t="s">
        <v>321</v>
      </c>
      <c r="J40" s="46" t="s">
        <v>220</v>
      </c>
      <c r="K40" s="54" t="s">
        <v>184</v>
      </c>
    </row>
    <row r="41" spans="2:11" x14ac:dyDescent="0.25">
      <c r="B41" s="29">
        <v>149</v>
      </c>
      <c r="C41" s="28" t="s">
        <v>91</v>
      </c>
      <c r="E41" s="46">
        <v>170</v>
      </c>
      <c r="F41" s="46" t="s">
        <v>221</v>
      </c>
      <c r="G41" s="47">
        <v>2</v>
      </c>
      <c r="H41" s="59"/>
      <c r="I41" s="59"/>
      <c r="J41" s="46" t="s">
        <v>222</v>
      </c>
      <c r="K41" s="53" t="s">
        <v>181</v>
      </c>
    </row>
    <row r="42" spans="2:11" x14ac:dyDescent="0.25">
      <c r="B42" s="29">
        <v>150</v>
      </c>
      <c r="C42" s="28" t="s">
        <v>64</v>
      </c>
      <c r="E42" s="46">
        <v>171</v>
      </c>
      <c r="F42" s="46" t="s">
        <v>223</v>
      </c>
      <c r="G42" s="47">
        <v>1</v>
      </c>
      <c r="H42" s="59"/>
      <c r="I42" s="59"/>
      <c r="J42" s="46" t="s">
        <v>224</v>
      </c>
      <c r="K42" s="53" t="s">
        <v>181</v>
      </c>
    </row>
    <row r="43" spans="2:11" x14ac:dyDescent="0.25">
      <c r="B43" s="29">
        <v>151</v>
      </c>
      <c r="C43" s="28" t="s">
        <v>65</v>
      </c>
      <c r="E43" s="46">
        <v>172</v>
      </c>
      <c r="F43" s="46" t="s">
        <v>225</v>
      </c>
      <c r="G43" s="47">
        <v>8</v>
      </c>
      <c r="H43" s="59" t="s">
        <v>311</v>
      </c>
      <c r="I43" s="59" t="s">
        <v>311</v>
      </c>
      <c r="J43" s="46" t="s">
        <v>226</v>
      </c>
      <c r="K43" s="54" t="s">
        <v>184</v>
      </c>
    </row>
    <row r="44" spans="2:11" x14ac:dyDescent="0.25">
      <c r="B44" s="29">
        <v>152</v>
      </c>
      <c r="C44" s="28" t="s">
        <v>66</v>
      </c>
      <c r="E44" s="46">
        <v>173</v>
      </c>
      <c r="F44" s="46" t="s">
        <v>227</v>
      </c>
      <c r="G44" s="47">
        <v>8</v>
      </c>
      <c r="H44" s="59" t="s">
        <v>311</v>
      </c>
      <c r="I44" s="59" t="s">
        <v>311</v>
      </c>
      <c r="J44" s="46" t="s">
        <v>228</v>
      </c>
      <c r="K44" s="54" t="s">
        <v>184</v>
      </c>
    </row>
    <row r="45" spans="2:11" x14ac:dyDescent="0.25">
      <c r="B45" s="29">
        <v>153</v>
      </c>
      <c r="C45" s="28" t="s">
        <v>78</v>
      </c>
      <c r="E45" s="46">
        <v>174</v>
      </c>
      <c r="F45" s="46" t="s">
        <v>229</v>
      </c>
      <c r="G45" s="47">
        <v>8</v>
      </c>
      <c r="H45" s="59" t="s">
        <v>311</v>
      </c>
      <c r="I45" s="59" t="s">
        <v>311</v>
      </c>
      <c r="J45" s="46" t="s">
        <v>230</v>
      </c>
      <c r="K45" s="54" t="s">
        <v>184</v>
      </c>
    </row>
    <row r="46" spans="2:11" x14ac:dyDescent="0.25">
      <c r="B46" s="29">
        <v>154</v>
      </c>
      <c r="C46" s="28" t="s">
        <v>92</v>
      </c>
      <c r="E46" s="46">
        <v>175</v>
      </c>
      <c r="F46" s="46" t="s">
        <v>231</v>
      </c>
      <c r="G46" s="47">
        <v>8</v>
      </c>
      <c r="H46" s="59" t="s">
        <v>311</v>
      </c>
      <c r="I46" s="59" t="s">
        <v>311</v>
      </c>
      <c r="J46" s="46" t="s">
        <v>232</v>
      </c>
      <c r="K46" s="54" t="s">
        <v>184</v>
      </c>
    </row>
    <row r="47" spans="2:11" x14ac:dyDescent="0.25">
      <c r="B47" s="29">
        <v>156</v>
      </c>
      <c r="C47" s="28" t="s">
        <v>61</v>
      </c>
      <c r="E47" s="46">
        <v>176</v>
      </c>
      <c r="F47" s="46" t="s">
        <v>233</v>
      </c>
      <c r="G47" s="47">
        <v>4</v>
      </c>
      <c r="H47" s="59" t="s">
        <v>311</v>
      </c>
      <c r="I47" s="59" t="s">
        <v>311</v>
      </c>
      <c r="J47" s="46" t="s">
        <v>234</v>
      </c>
      <c r="K47" s="54" t="s">
        <v>184</v>
      </c>
    </row>
    <row r="48" spans="2:11" x14ac:dyDescent="0.25">
      <c r="B48" s="29">
        <v>157</v>
      </c>
      <c r="C48" s="28" t="s">
        <v>106</v>
      </c>
      <c r="E48" s="46">
        <v>177</v>
      </c>
      <c r="F48" s="46" t="s">
        <v>235</v>
      </c>
      <c r="G48" s="47">
        <v>4</v>
      </c>
      <c r="H48" s="59" t="s">
        <v>311</v>
      </c>
      <c r="I48" s="59" t="s">
        <v>311</v>
      </c>
      <c r="J48" s="46" t="s">
        <v>236</v>
      </c>
      <c r="K48" s="54" t="s">
        <v>184</v>
      </c>
    </row>
    <row r="49" spans="2:11" x14ac:dyDescent="0.25">
      <c r="B49" s="29">
        <v>158</v>
      </c>
      <c r="C49" s="28" t="s">
        <v>97</v>
      </c>
      <c r="E49" s="46">
        <v>178</v>
      </c>
      <c r="F49" s="46" t="s">
        <v>237</v>
      </c>
      <c r="G49" s="47">
        <v>4</v>
      </c>
      <c r="H49" s="59" t="s">
        <v>311</v>
      </c>
      <c r="I49" s="59" t="s">
        <v>311</v>
      </c>
      <c r="J49" s="46" t="s">
        <v>238</v>
      </c>
      <c r="K49" s="54" t="s">
        <v>184</v>
      </c>
    </row>
    <row r="50" spans="2:11" x14ac:dyDescent="0.25">
      <c r="B50" s="29">
        <v>159</v>
      </c>
      <c r="C50" s="28" t="s">
        <v>100</v>
      </c>
      <c r="E50" s="46">
        <v>179</v>
      </c>
      <c r="F50" s="46" t="s">
        <v>239</v>
      </c>
      <c r="G50" s="47">
        <v>4</v>
      </c>
      <c r="H50" s="59" t="s">
        <v>311</v>
      </c>
      <c r="I50" s="59" t="s">
        <v>311</v>
      </c>
      <c r="J50" s="46" t="s">
        <v>240</v>
      </c>
      <c r="K50" s="54" t="s">
        <v>184</v>
      </c>
    </row>
    <row r="51" spans="2:11" x14ac:dyDescent="0.25">
      <c r="B51" s="29">
        <v>160</v>
      </c>
      <c r="C51" s="28" t="s">
        <v>102</v>
      </c>
      <c r="E51" s="46">
        <v>180</v>
      </c>
      <c r="F51" s="46" t="s">
        <v>241</v>
      </c>
      <c r="G51" s="47">
        <v>4</v>
      </c>
      <c r="H51" s="59" t="s">
        <v>311</v>
      </c>
      <c r="I51" s="59" t="s">
        <v>311</v>
      </c>
      <c r="J51" s="46" t="s">
        <v>242</v>
      </c>
      <c r="K51" s="54" t="s">
        <v>184</v>
      </c>
    </row>
    <row r="52" spans="2:11" x14ac:dyDescent="0.25">
      <c r="B52" s="29">
        <v>161</v>
      </c>
      <c r="C52" s="28" t="s">
        <v>68</v>
      </c>
      <c r="E52" s="46">
        <v>181</v>
      </c>
      <c r="F52" s="46" t="s">
        <v>173</v>
      </c>
      <c r="G52" s="47">
        <v>64</v>
      </c>
      <c r="H52" s="59" t="s">
        <v>308</v>
      </c>
      <c r="I52" s="59" t="s">
        <v>321</v>
      </c>
      <c r="J52" s="46" t="s">
        <v>243</v>
      </c>
      <c r="K52" s="54" t="s">
        <v>184</v>
      </c>
    </row>
    <row r="53" spans="2:11" x14ac:dyDescent="0.25">
      <c r="B53" s="29">
        <v>162</v>
      </c>
      <c r="C53" s="28" t="s">
        <v>72</v>
      </c>
      <c r="E53" s="46">
        <v>182</v>
      </c>
      <c r="F53" s="46" t="s">
        <v>244</v>
      </c>
      <c r="G53" s="47">
        <v>4</v>
      </c>
      <c r="H53" s="59"/>
      <c r="I53" s="59"/>
      <c r="J53" s="46" t="s">
        <v>245</v>
      </c>
      <c r="K53" s="54" t="s">
        <v>184</v>
      </c>
    </row>
    <row r="54" spans="2:11" x14ac:dyDescent="0.25">
      <c r="B54" s="29">
        <v>163</v>
      </c>
      <c r="C54" s="28" t="s">
        <v>71</v>
      </c>
      <c r="E54" s="46">
        <v>183</v>
      </c>
      <c r="F54" s="46" t="s">
        <v>246</v>
      </c>
      <c r="G54" s="47">
        <v>24</v>
      </c>
      <c r="H54" s="59" t="s">
        <v>312</v>
      </c>
      <c r="I54" s="59" t="s">
        <v>323</v>
      </c>
      <c r="J54" s="46" t="s">
        <v>247</v>
      </c>
      <c r="K54" s="54" t="s">
        <v>184</v>
      </c>
    </row>
    <row r="55" spans="2:11" x14ac:dyDescent="0.25">
      <c r="B55" s="29">
        <v>164</v>
      </c>
      <c r="C55" s="28" t="s">
        <v>70</v>
      </c>
      <c r="E55" s="46">
        <v>184</v>
      </c>
      <c r="F55" s="46" t="s">
        <v>248</v>
      </c>
      <c r="G55" s="47">
        <v>24</v>
      </c>
      <c r="H55" s="59" t="s">
        <v>310</v>
      </c>
      <c r="I55" s="59" t="s">
        <v>310</v>
      </c>
      <c r="J55" s="46" t="s">
        <v>249</v>
      </c>
      <c r="K55" s="54" t="s">
        <v>184</v>
      </c>
    </row>
    <row r="56" spans="2:11" x14ac:dyDescent="0.25">
      <c r="B56" s="29">
        <v>165</v>
      </c>
      <c r="C56" s="28" t="s">
        <v>62</v>
      </c>
      <c r="E56" s="46">
        <v>185</v>
      </c>
      <c r="F56" s="46" t="s">
        <v>250</v>
      </c>
      <c r="G56" s="47">
        <v>24</v>
      </c>
      <c r="H56" s="59" t="s">
        <v>313</v>
      </c>
      <c r="I56" s="59" t="s">
        <v>313</v>
      </c>
      <c r="J56" s="46" t="s">
        <v>251</v>
      </c>
      <c r="K56" s="54" t="s">
        <v>184</v>
      </c>
    </row>
    <row r="57" spans="2:11" x14ac:dyDescent="0.25">
      <c r="B57" s="29">
        <v>166</v>
      </c>
      <c r="C57" s="28" t="s">
        <v>68</v>
      </c>
      <c r="E57" s="46">
        <v>186</v>
      </c>
      <c r="F57" s="46" t="s">
        <v>252</v>
      </c>
      <c r="G57" s="47">
        <v>8</v>
      </c>
      <c r="H57" s="59" t="s">
        <v>312</v>
      </c>
      <c r="I57" s="59" t="s">
        <v>323</v>
      </c>
      <c r="J57" s="46" t="s">
        <v>253</v>
      </c>
      <c r="K57" s="48" t="s">
        <v>150</v>
      </c>
    </row>
    <row r="58" spans="2:11" x14ac:dyDescent="0.25">
      <c r="B58" s="29">
        <v>168</v>
      </c>
      <c r="C58" s="28" t="s">
        <v>61</v>
      </c>
      <c r="E58" s="46">
        <v>187</v>
      </c>
      <c r="F58" s="46" t="s">
        <v>254</v>
      </c>
      <c r="G58" s="47">
        <v>4</v>
      </c>
      <c r="H58" s="59" t="s">
        <v>314</v>
      </c>
      <c r="I58" s="59" t="s">
        <v>314</v>
      </c>
      <c r="J58" s="46" t="s">
        <v>255</v>
      </c>
      <c r="K58" s="48" t="s">
        <v>150</v>
      </c>
    </row>
    <row r="59" spans="2:11" x14ac:dyDescent="0.25">
      <c r="B59" s="29">
        <v>169</v>
      </c>
      <c r="C59" s="28" t="s">
        <v>73</v>
      </c>
      <c r="E59" s="46">
        <v>188</v>
      </c>
      <c r="F59" s="46" t="s">
        <v>256</v>
      </c>
      <c r="G59" s="47">
        <v>16</v>
      </c>
      <c r="H59" s="59" t="s">
        <v>319</v>
      </c>
      <c r="I59" s="59" t="s">
        <v>322</v>
      </c>
      <c r="J59" s="46" t="s">
        <v>257</v>
      </c>
      <c r="K59" s="48" t="s">
        <v>150</v>
      </c>
    </row>
    <row r="60" spans="2:11" x14ac:dyDescent="0.25">
      <c r="B60" s="29">
        <v>170</v>
      </c>
      <c r="C60" s="28" t="s">
        <v>56</v>
      </c>
      <c r="E60" s="46">
        <v>189</v>
      </c>
      <c r="F60" s="46" t="s">
        <v>258</v>
      </c>
      <c r="G60" s="47">
        <v>16</v>
      </c>
      <c r="H60" s="59" t="s">
        <v>316</v>
      </c>
      <c r="I60" s="59" t="s">
        <v>321</v>
      </c>
      <c r="J60" s="46" t="s">
        <v>259</v>
      </c>
      <c r="K60" s="48" t="s">
        <v>150</v>
      </c>
    </row>
    <row r="61" spans="2:11" x14ac:dyDescent="0.25">
      <c r="B61" s="29">
        <v>171</v>
      </c>
      <c r="C61" s="28" t="s">
        <v>55</v>
      </c>
      <c r="E61" s="46">
        <v>190</v>
      </c>
      <c r="F61" s="46" t="s">
        <v>260</v>
      </c>
      <c r="G61" s="47">
        <v>64</v>
      </c>
      <c r="H61" s="59" t="s">
        <v>312</v>
      </c>
      <c r="I61" s="59" t="s">
        <v>323</v>
      </c>
      <c r="J61" s="46" t="s">
        <v>261</v>
      </c>
      <c r="K61" s="48" t="s">
        <v>150</v>
      </c>
    </row>
    <row r="62" spans="2:11" x14ac:dyDescent="0.25">
      <c r="B62" s="29">
        <v>172</v>
      </c>
      <c r="C62" s="28" t="s">
        <v>83</v>
      </c>
      <c r="E62" s="46">
        <v>191</v>
      </c>
      <c r="F62" s="46" t="s">
        <v>262</v>
      </c>
      <c r="G62" s="47">
        <v>16</v>
      </c>
      <c r="H62" s="59" t="s">
        <v>308</v>
      </c>
      <c r="I62" s="59" t="s">
        <v>321</v>
      </c>
      <c r="J62" s="46" t="s">
        <v>263</v>
      </c>
      <c r="K62" s="48" t="s">
        <v>150</v>
      </c>
    </row>
    <row r="63" spans="2:11" x14ac:dyDescent="0.25">
      <c r="B63" s="29">
        <v>173</v>
      </c>
      <c r="C63" s="28" t="s">
        <v>90</v>
      </c>
      <c r="E63" s="46">
        <v>192</v>
      </c>
      <c r="F63" s="46" t="s">
        <v>217</v>
      </c>
      <c r="G63" s="47">
        <v>64</v>
      </c>
      <c r="H63" s="59" t="s">
        <v>312</v>
      </c>
      <c r="I63" s="59" t="s">
        <v>323</v>
      </c>
      <c r="J63" s="46" t="s">
        <v>264</v>
      </c>
      <c r="K63" s="48" t="s">
        <v>150</v>
      </c>
    </row>
    <row r="64" spans="2:11" x14ac:dyDescent="0.25">
      <c r="B64" s="29">
        <v>174</v>
      </c>
      <c r="C64" s="28" t="s">
        <v>86</v>
      </c>
      <c r="E64" s="46">
        <v>193</v>
      </c>
      <c r="F64" s="46" t="s">
        <v>196</v>
      </c>
      <c r="G64" s="47">
        <v>32</v>
      </c>
      <c r="H64" s="59" t="s">
        <v>308</v>
      </c>
      <c r="I64" s="59" t="s">
        <v>321</v>
      </c>
      <c r="J64" s="46" t="s">
        <v>265</v>
      </c>
      <c r="K64" s="48" t="s">
        <v>150</v>
      </c>
    </row>
    <row r="65" spans="2:11" x14ac:dyDescent="0.25">
      <c r="B65" s="29">
        <v>175</v>
      </c>
      <c r="C65" s="28" t="s">
        <v>85</v>
      </c>
      <c r="E65" s="46">
        <v>194</v>
      </c>
      <c r="F65" s="46" t="s">
        <v>266</v>
      </c>
      <c r="G65" s="47">
        <v>64</v>
      </c>
      <c r="H65" s="59" t="s">
        <v>308</v>
      </c>
      <c r="I65" s="59" t="s">
        <v>321</v>
      </c>
      <c r="J65" s="46" t="s">
        <v>267</v>
      </c>
      <c r="K65" s="48" t="s">
        <v>150</v>
      </c>
    </row>
    <row r="66" spans="2:11" x14ac:dyDescent="0.25">
      <c r="B66" s="29">
        <v>176</v>
      </c>
      <c r="C66" s="28" t="s">
        <v>84</v>
      </c>
      <c r="E66" s="46">
        <v>196</v>
      </c>
      <c r="F66" s="46" t="s">
        <v>194</v>
      </c>
      <c r="G66" s="47">
        <v>32</v>
      </c>
      <c r="H66" s="59" t="s">
        <v>308</v>
      </c>
      <c r="I66" s="59" t="s">
        <v>321</v>
      </c>
      <c r="J66" s="46" t="s">
        <v>268</v>
      </c>
      <c r="K66" s="48" t="s">
        <v>150</v>
      </c>
    </row>
    <row r="67" spans="2:11" x14ac:dyDescent="0.25">
      <c r="B67" s="29">
        <v>177</v>
      </c>
      <c r="C67" s="28" t="s">
        <v>82</v>
      </c>
      <c r="E67" s="46">
        <v>197</v>
      </c>
      <c r="F67" s="46" t="s">
        <v>217</v>
      </c>
      <c r="G67" s="47">
        <v>64</v>
      </c>
      <c r="H67" s="59" t="s">
        <v>312</v>
      </c>
      <c r="I67" s="59" t="s">
        <v>323</v>
      </c>
      <c r="J67" s="46" t="s">
        <v>269</v>
      </c>
      <c r="K67" s="48" t="s">
        <v>150</v>
      </c>
    </row>
    <row r="68" spans="2:11" x14ac:dyDescent="0.25">
      <c r="B68" s="29">
        <v>178</v>
      </c>
      <c r="C68" s="28" t="s">
        <v>88</v>
      </c>
      <c r="E68" s="46">
        <v>199</v>
      </c>
      <c r="F68" s="46" t="s">
        <v>266</v>
      </c>
      <c r="G68" s="47">
        <v>64</v>
      </c>
      <c r="H68" s="59" t="s">
        <v>308</v>
      </c>
      <c r="I68" s="59" t="s">
        <v>321</v>
      </c>
      <c r="J68" s="46" t="s">
        <v>270</v>
      </c>
      <c r="K68" s="48" t="s">
        <v>150</v>
      </c>
    </row>
    <row r="69" spans="2:11" x14ac:dyDescent="0.25">
      <c r="B69" s="29">
        <v>179</v>
      </c>
      <c r="C69" s="28" t="s">
        <v>89</v>
      </c>
      <c r="E69" s="46">
        <v>200</v>
      </c>
      <c r="F69" s="46" t="s">
        <v>163</v>
      </c>
      <c r="G69" s="47">
        <v>96</v>
      </c>
      <c r="H69" s="59" t="s">
        <v>308</v>
      </c>
      <c r="I69" s="59" t="s">
        <v>321</v>
      </c>
      <c r="J69" s="46" t="s">
        <v>271</v>
      </c>
      <c r="K69" s="48" t="s">
        <v>150</v>
      </c>
    </row>
    <row r="70" spans="2:11" x14ac:dyDescent="0.25">
      <c r="B70" s="29">
        <v>180</v>
      </c>
      <c r="C70" s="28" t="s">
        <v>87</v>
      </c>
      <c r="E70" s="46">
        <v>201</v>
      </c>
      <c r="F70" s="46" t="s">
        <v>160</v>
      </c>
      <c r="G70" s="47">
        <v>96</v>
      </c>
      <c r="H70" s="59" t="s">
        <v>319</v>
      </c>
      <c r="I70" s="59" t="s">
        <v>322</v>
      </c>
      <c r="J70" s="46" t="s">
        <v>272</v>
      </c>
      <c r="K70" s="48" t="s">
        <v>150</v>
      </c>
    </row>
    <row r="71" spans="2:11" x14ac:dyDescent="0.25">
      <c r="B71" s="29">
        <v>181</v>
      </c>
      <c r="C71" s="28" t="s">
        <v>91</v>
      </c>
      <c r="E71" s="46">
        <v>202</v>
      </c>
      <c r="F71" s="46" t="s">
        <v>273</v>
      </c>
      <c r="G71" s="47">
        <v>2</v>
      </c>
      <c r="H71" s="59" t="s">
        <v>315</v>
      </c>
      <c r="I71" s="59" t="s">
        <v>315</v>
      </c>
      <c r="J71" s="46" t="s">
        <v>274</v>
      </c>
      <c r="K71" s="48" t="s">
        <v>150</v>
      </c>
    </row>
    <row r="72" spans="2:11" x14ac:dyDescent="0.25">
      <c r="B72" s="29">
        <v>182</v>
      </c>
      <c r="C72" s="28"/>
      <c r="E72" s="46">
        <v>203</v>
      </c>
      <c r="F72" s="46" t="s">
        <v>275</v>
      </c>
      <c r="G72" s="47">
        <v>4</v>
      </c>
      <c r="H72" s="59" t="s">
        <v>313</v>
      </c>
      <c r="I72" s="59" t="s">
        <v>313</v>
      </c>
      <c r="J72" s="46" t="s">
        <v>276</v>
      </c>
      <c r="K72" s="54" t="s">
        <v>184</v>
      </c>
    </row>
    <row r="73" spans="2:11" x14ac:dyDescent="0.25">
      <c r="B73" s="29">
        <v>183</v>
      </c>
      <c r="C73" s="28" t="s">
        <v>79</v>
      </c>
      <c r="E73" s="46">
        <v>204</v>
      </c>
      <c r="F73" s="46" t="s">
        <v>277</v>
      </c>
      <c r="G73" s="47">
        <v>4</v>
      </c>
      <c r="H73" s="59" t="s">
        <v>313</v>
      </c>
      <c r="I73" s="59" t="s">
        <v>313</v>
      </c>
      <c r="J73" s="46" t="s">
        <v>278</v>
      </c>
      <c r="K73" s="54" t="s">
        <v>184</v>
      </c>
    </row>
    <row r="74" spans="2:11" x14ac:dyDescent="0.25">
      <c r="B74" s="29">
        <v>184</v>
      </c>
      <c r="C74" s="28" t="s">
        <v>59</v>
      </c>
      <c r="E74" s="46">
        <v>207</v>
      </c>
      <c r="F74" s="46" t="s">
        <v>279</v>
      </c>
      <c r="G74" s="47">
        <v>1</v>
      </c>
      <c r="H74" s="59" t="s">
        <v>312</v>
      </c>
      <c r="I74" s="59" t="s">
        <v>323</v>
      </c>
      <c r="J74" s="46" t="s">
        <v>280</v>
      </c>
      <c r="K74" s="54" t="s">
        <v>184</v>
      </c>
    </row>
    <row r="75" spans="2:11" x14ac:dyDescent="0.25">
      <c r="B75" s="29">
        <v>185</v>
      </c>
      <c r="C75" s="28" t="s">
        <v>58</v>
      </c>
      <c r="E75" s="55">
        <v>210</v>
      </c>
      <c r="F75" s="55" t="s">
        <v>281</v>
      </c>
      <c r="G75" s="55" t="s">
        <v>109</v>
      </c>
      <c r="H75" s="60"/>
      <c r="I75" s="60"/>
      <c r="J75" s="55" t="s">
        <v>109</v>
      </c>
      <c r="K75" s="48" t="s">
        <v>150</v>
      </c>
    </row>
    <row r="76" spans="2:11" x14ac:dyDescent="0.25">
      <c r="B76" s="29">
        <v>186</v>
      </c>
      <c r="C76" s="28" t="s">
        <v>80</v>
      </c>
      <c r="E76" s="46">
        <v>1015</v>
      </c>
      <c r="F76" s="46" t="s">
        <v>282</v>
      </c>
      <c r="G76" s="47">
        <v>2</v>
      </c>
      <c r="H76" s="59"/>
      <c r="I76" s="59"/>
      <c r="J76" s="46" t="s">
        <v>109</v>
      </c>
      <c r="K76" s="48" t="s">
        <v>150</v>
      </c>
    </row>
    <row r="77" spans="2:11" x14ac:dyDescent="0.25">
      <c r="B77" s="29">
        <v>187</v>
      </c>
      <c r="C77" s="28" t="s">
        <v>60</v>
      </c>
      <c r="E77" s="46">
        <v>1017</v>
      </c>
      <c r="F77" s="46" t="s">
        <v>283</v>
      </c>
      <c r="G77" s="47">
        <v>4</v>
      </c>
      <c r="H77" s="59"/>
      <c r="I77" s="59"/>
      <c r="J77" s="46">
        <v>2162</v>
      </c>
      <c r="K77" s="48" t="s">
        <v>150</v>
      </c>
    </row>
    <row r="78" spans="2:11" x14ac:dyDescent="0.25">
      <c r="B78" s="29">
        <v>188</v>
      </c>
      <c r="C78" s="28" t="s">
        <v>52</v>
      </c>
      <c r="E78" s="46" t="s">
        <v>26</v>
      </c>
      <c r="F78" s="46" t="s">
        <v>284</v>
      </c>
      <c r="G78" s="47">
        <v>8</v>
      </c>
      <c r="H78" s="59"/>
      <c r="I78" s="59"/>
      <c r="J78" s="46" t="s">
        <v>109</v>
      </c>
      <c r="K78" s="56" t="s">
        <v>285</v>
      </c>
    </row>
    <row r="79" spans="2:11" x14ac:dyDescent="0.25">
      <c r="B79" s="29">
        <v>189</v>
      </c>
      <c r="C79" s="28" t="s">
        <v>68</v>
      </c>
      <c r="E79" s="46" t="s">
        <v>27</v>
      </c>
      <c r="F79" s="46" t="s">
        <v>286</v>
      </c>
      <c r="G79" s="47">
        <v>16</v>
      </c>
      <c r="H79" s="59" t="s">
        <v>308</v>
      </c>
      <c r="I79" s="59" t="s">
        <v>321</v>
      </c>
      <c r="J79" s="46" t="s">
        <v>287</v>
      </c>
      <c r="K79" s="50" t="s">
        <v>162</v>
      </c>
    </row>
    <row r="80" spans="2:11" x14ac:dyDescent="0.25">
      <c r="B80" s="29">
        <v>190</v>
      </c>
      <c r="C80" s="28" t="s">
        <v>69</v>
      </c>
      <c r="E80" s="46" t="s">
        <v>28</v>
      </c>
      <c r="F80" s="46" t="s">
        <v>256</v>
      </c>
      <c r="G80" s="47">
        <v>16</v>
      </c>
      <c r="H80" s="59" t="s">
        <v>319</v>
      </c>
      <c r="I80" s="59" t="s">
        <v>322</v>
      </c>
      <c r="J80" s="46" t="s">
        <v>109</v>
      </c>
      <c r="K80" s="51" t="s">
        <v>169</v>
      </c>
    </row>
    <row r="81" spans="2:11" x14ac:dyDescent="0.25">
      <c r="B81" s="29">
        <v>191</v>
      </c>
      <c r="C81" s="28" t="s">
        <v>81</v>
      </c>
      <c r="E81" s="46" t="s">
        <v>29</v>
      </c>
      <c r="F81" s="46" t="s">
        <v>288</v>
      </c>
      <c r="G81" s="47">
        <v>16</v>
      </c>
      <c r="H81" s="59" t="s">
        <v>316</v>
      </c>
      <c r="I81" s="59" t="s">
        <v>321</v>
      </c>
      <c r="J81" s="46" t="s">
        <v>289</v>
      </c>
      <c r="K81" s="53" t="s">
        <v>181</v>
      </c>
    </row>
    <row r="82" spans="2:11" x14ac:dyDescent="0.25">
      <c r="B82" s="29">
        <v>192</v>
      </c>
      <c r="C82" s="28" t="s">
        <v>62</v>
      </c>
      <c r="E82" s="46" t="s">
        <v>30</v>
      </c>
      <c r="F82" s="46" t="s">
        <v>290</v>
      </c>
      <c r="G82" s="47">
        <v>16</v>
      </c>
      <c r="H82" s="59" t="s">
        <v>316</v>
      </c>
      <c r="I82" s="59" t="s">
        <v>321</v>
      </c>
      <c r="J82" s="46" t="s">
        <v>291</v>
      </c>
      <c r="K82" s="53" t="s">
        <v>181</v>
      </c>
    </row>
    <row r="83" spans="2:11" x14ac:dyDescent="0.25">
      <c r="B83" s="29">
        <v>193</v>
      </c>
      <c r="C83" s="28" t="s">
        <v>66</v>
      </c>
      <c r="E83" s="46" t="s">
        <v>31</v>
      </c>
      <c r="F83" s="46" t="s">
        <v>292</v>
      </c>
      <c r="G83" s="47">
        <v>16</v>
      </c>
      <c r="H83" s="59" t="s">
        <v>320</v>
      </c>
      <c r="I83" s="59" t="s">
        <v>320</v>
      </c>
      <c r="J83" s="46" t="s">
        <v>293</v>
      </c>
      <c r="K83" s="53" t="s">
        <v>181</v>
      </c>
    </row>
    <row r="84" spans="2:11" x14ac:dyDescent="0.25">
      <c r="B84" s="29">
        <v>194</v>
      </c>
      <c r="C84" s="28" t="s">
        <v>94</v>
      </c>
      <c r="E84" s="46" t="s">
        <v>32</v>
      </c>
      <c r="F84" s="46" t="s">
        <v>294</v>
      </c>
      <c r="G84" s="47">
        <v>16</v>
      </c>
      <c r="H84" s="59" t="s">
        <v>316</v>
      </c>
      <c r="I84" s="59" t="s">
        <v>321</v>
      </c>
      <c r="J84" s="46" t="s">
        <v>289</v>
      </c>
      <c r="K84" s="53" t="s">
        <v>181</v>
      </c>
    </row>
    <row r="85" spans="2:11" x14ac:dyDescent="0.25">
      <c r="B85" s="29">
        <v>195</v>
      </c>
      <c r="C85" s="28" t="s">
        <v>95</v>
      </c>
      <c r="E85" s="46" t="s">
        <v>33</v>
      </c>
      <c r="F85" s="46" t="s">
        <v>295</v>
      </c>
      <c r="G85" s="47">
        <v>16</v>
      </c>
      <c r="H85" s="59" t="s">
        <v>316</v>
      </c>
      <c r="I85" s="59" t="s">
        <v>321</v>
      </c>
      <c r="J85" s="46" t="s">
        <v>289</v>
      </c>
      <c r="K85" s="53" t="s">
        <v>181</v>
      </c>
    </row>
    <row r="86" spans="2:11" x14ac:dyDescent="0.25">
      <c r="B86" s="29">
        <v>197</v>
      </c>
      <c r="C86" s="28" t="s">
        <v>62</v>
      </c>
      <c r="E86" s="46" t="s">
        <v>34</v>
      </c>
      <c r="F86" s="46" t="s">
        <v>172</v>
      </c>
      <c r="G86" s="47">
        <v>32</v>
      </c>
      <c r="H86" s="59" t="s">
        <v>316</v>
      </c>
      <c r="I86" s="59" t="s">
        <v>321</v>
      </c>
      <c r="J86" s="46" t="s">
        <v>296</v>
      </c>
      <c r="K86" s="53" t="s">
        <v>181</v>
      </c>
    </row>
    <row r="87" spans="2:11" x14ac:dyDescent="0.25">
      <c r="B87" s="29">
        <v>198</v>
      </c>
      <c r="C87" s="28"/>
      <c r="E87" s="46" t="s">
        <v>35</v>
      </c>
      <c r="F87" s="46" t="s">
        <v>170</v>
      </c>
      <c r="G87" s="47">
        <v>32</v>
      </c>
      <c r="H87" s="59" t="s">
        <v>308</v>
      </c>
      <c r="I87" s="59" t="s">
        <v>321</v>
      </c>
      <c r="J87" s="46" t="s">
        <v>297</v>
      </c>
      <c r="K87" s="53" t="s">
        <v>181</v>
      </c>
    </row>
    <row r="88" spans="2:11" x14ac:dyDescent="0.25">
      <c r="B88" s="29">
        <v>199</v>
      </c>
      <c r="C88" s="28" t="s">
        <v>94</v>
      </c>
      <c r="E88" s="46" t="s">
        <v>36</v>
      </c>
      <c r="F88" s="46" t="s">
        <v>298</v>
      </c>
      <c r="G88" s="47">
        <v>7</v>
      </c>
      <c r="H88" s="59" t="s">
        <v>317</v>
      </c>
      <c r="I88" s="59" t="s">
        <v>322</v>
      </c>
      <c r="J88" s="46" t="s">
        <v>109</v>
      </c>
      <c r="K88" s="56" t="s">
        <v>285</v>
      </c>
    </row>
    <row r="89" spans="2:11" x14ac:dyDescent="0.25">
      <c r="B89" s="29">
        <v>200</v>
      </c>
      <c r="C89" s="28" t="s">
        <v>61</v>
      </c>
      <c r="E89" s="46" t="s">
        <v>37</v>
      </c>
      <c r="F89" s="46" t="s">
        <v>163</v>
      </c>
      <c r="G89" s="47">
        <v>64</v>
      </c>
      <c r="H89" s="59" t="s">
        <v>308</v>
      </c>
      <c r="I89" s="59" t="s">
        <v>321</v>
      </c>
      <c r="J89" s="46" t="s">
        <v>299</v>
      </c>
      <c r="K89" s="54" t="s">
        <v>184</v>
      </c>
    </row>
    <row r="90" spans="2:11" x14ac:dyDescent="0.25">
      <c r="B90" s="29">
        <v>201</v>
      </c>
      <c r="C90" s="28" t="s">
        <v>76</v>
      </c>
      <c r="E90" s="46" t="s">
        <v>300</v>
      </c>
      <c r="F90" s="46" t="s">
        <v>301</v>
      </c>
      <c r="G90" s="47">
        <v>64</v>
      </c>
      <c r="H90" s="59" t="s">
        <v>308</v>
      </c>
      <c r="I90" s="59" t="s">
        <v>321</v>
      </c>
      <c r="J90" s="46" t="s">
        <v>299</v>
      </c>
      <c r="K90" s="54" t="s">
        <v>184</v>
      </c>
    </row>
    <row r="91" spans="2:11" x14ac:dyDescent="0.25">
      <c r="B91" s="29">
        <v>202</v>
      </c>
      <c r="C91" s="28" t="s">
        <v>51</v>
      </c>
      <c r="E91" s="46" t="s">
        <v>40</v>
      </c>
      <c r="F91" s="46" t="s">
        <v>302</v>
      </c>
      <c r="G91" s="47">
        <v>2</v>
      </c>
      <c r="H91" s="59" t="s">
        <v>318</v>
      </c>
      <c r="I91" s="59" t="s">
        <v>322</v>
      </c>
      <c r="J91" s="46" t="s">
        <v>109</v>
      </c>
      <c r="K91" s="48" t="s">
        <v>150</v>
      </c>
    </row>
    <row r="92" spans="2:11" x14ac:dyDescent="0.25">
      <c r="B92" s="29">
        <v>203</v>
      </c>
      <c r="C92" s="28" t="s">
        <v>309</v>
      </c>
      <c r="E92" s="46" t="s">
        <v>303</v>
      </c>
      <c r="F92" s="46" t="s">
        <v>304</v>
      </c>
      <c r="G92" s="47">
        <v>8</v>
      </c>
      <c r="H92" s="59" t="s">
        <v>310</v>
      </c>
      <c r="I92" s="59" t="s">
        <v>310</v>
      </c>
      <c r="J92" s="46" t="s">
        <v>157</v>
      </c>
      <c r="K92" s="48" t="s">
        <v>150</v>
      </c>
    </row>
    <row r="93" spans="2:11" x14ac:dyDescent="0.25">
      <c r="B93" s="29">
        <v>204</v>
      </c>
      <c r="C93" s="28" t="s">
        <v>141</v>
      </c>
      <c r="E93" s="46" t="s">
        <v>42</v>
      </c>
      <c r="F93" s="46" t="s">
        <v>305</v>
      </c>
      <c r="G93" s="47">
        <v>2</v>
      </c>
      <c r="H93" s="59" t="s">
        <v>318</v>
      </c>
      <c r="I93" s="59" t="s">
        <v>322</v>
      </c>
      <c r="J93" s="46" t="s">
        <v>109</v>
      </c>
      <c r="K93" s="48" t="s">
        <v>150</v>
      </c>
    </row>
    <row r="94" spans="2:11" x14ac:dyDescent="0.25">
      <c r="B94" s="29">
        <v>205</v>
      </c>
      <c r="C94" s="28"/>
      <c r="E94" s="46" t="s">
        <v>43</v>
      </c>
      <c r="F94" s="46" t="s">
        <v>306</v>
      </c>
      <c r="G94" s="47">
        <v>2</v>
      </c>
      <c r="H94" s="59" t="s">
        <v>318</v>
      </c>
      <c r="I94" s="59" t="s">
        <v>322</v>
      </c>
      <c r="J94" s="46" t="s">
        <v>109</v>
      </c>
      <c r="K94" s="48" t="s">
        <v>150</v>
      </c>
    </row>
    <row r="95" spans="2:11" x14ac:dyDescent="0.25">
      <c r="B95" s="29">
        <v>206</v>
      </c>
      <c r="C95" s="28"/>
    </row>
    <row r="96" spans="2:11" x14ac:dyDescent="0.25">
      <c r="B96" s="29">
        <v>207</v>
      </c>
      <c r="C96" s="28" t="s">
        <v>116</v>
      </c>
    </row>
    <row r="97" spans="2:3" x14ac:dyDescent="0.25">
      <c r="B97" s="29">
        <v>208</v>
      </c>
      <c r="C97" s="28"/>
    </row>
    <row r="98" spans="2:3" x14ac:dyDescent="0.25">
      <c r="B98" s="29">
        <v>209</v>
      </c>
      <c r="C98" s="28"/>
    </row>
    <row r="99" spans="2:3" x14ac:dyDescent="0.25">
      <c r="B99" s="29">
        <v>210</v>
      </c>
      <c r="C99" s="28"/>
    </row>
    <row r="100" spans="2:3" x14ac:dyDescent="0.25">
      <c r="B100" s="29"/>
      <c r="C100" s="28"/>
    </row>
    <row r="101" spans="2:3" x14ac:dyDescent="0.25">
      <c r="B101" s="29"/>
      <c r="C101" s="28"/>
    </row>
    <row r="102" spans="2:3" x14ac:dyDescent="0.25">
      <c r="B102" s="29"/>
      <c r="C102" s="28"/>
    </row>
    <row r="103" spans="2:3" x14ac:dyDescent="0.25">
      <c r="B103" s="29"/>
      <c r="C103" s="28"/>
    </row>
    <row r="104" spans="2:3" x14ac:dyDescent="0.25">
      <c r="B104" s="29"/>
      <c r="C104" s="28"/>
    </row>
    <row r="105" spans="2:3" x14ac:dyDescent="0.25">
      <c r="B105" s="29"/>
      <c r="C105" s="28"/>
    </row>
    <row r="106" spans="2:3" x14ac:dyDescent="0.25">
      <c r="B106" s="29"/>
      <c r="C106" s="28"/>
    </row>
    <row r="107" spans="2:3" x14ac:dyDescent="0.25">
      <c r="B107" s="29"/>
      <c r="C107" s="28"/>
    </row>
    <row r="108" spans="2:3" x14ac:dyDescent="0.25">
      <c r="B108" s="29"/>
      <c r="C108" s="28"/>
    </row>
    <row r="109" spans="2:3" x14ac:dyDescent="0.25">
      <c r="B109" s="29"/>
      <c r="C109" s="28"/>
    </row>
    <row r="110" spans="2:3" x14ac:dyDescent="0.25">
      <c r="B110" s="29"/>
      <c r="C110" s="28"/>
    </row>
    <row r="111" spans="2:3" x14ac:dyDescent="0.25">
      <c r="B111" s="29"/>
      <c r="C111" s="28"/>
    </row>
    <row r="112" spans="2:3" x14ac:dyDescent="0.25">
      <c r="B112" s="28"/>
      <c r="C112" s="28"/>
    </row>
    <row r="113" spans="2:3" x14ac:dyDescent="0.25">
      <c r="B113" s="29" t="s">
        <v>26</v>
      </c>
      <c r="C113" s="28"/>
    </row>
    <row r="114" spans="2:3" x14ac:dyDescent="0.25">
      <c r="B114" s="29" t="s">
        <v>27</v>
      </c>
      <c r="C114" s="28" t="s">
        <v>67</v>
      </c>
    </row>
    <row r="115" spans="2:3" x14ac:dyDescent="0.25">
      <c r="B115" s="29" t="s">
        <v>28</v>
      </c>
      <c r="C115" s="28" t="s">
        <v>52</v>
      </c>
    </row>
    <row r="116" spans="2:3" x14ac:dyDescent="0.25">
      <c r="B116" s="29" t="s">
        <v>29</v>
      </c>
      <c r="C116" s="28" t="s">
        <v>107</v>
      </c>
    </row>
    <row r="117" spans="2:3" x14ac:dyDescent="0.25">
      <c r="B117" s="29" t="s">
        <v>30</v>
      </c>
      <c r="C117" s="28" t="s">
        <v>108</v>
      </c>
    </row>
    <row r="118" spans="2:3" x14ac:dyDescent="0.25">
      <c r="B118" s="29" t="s">
        <v>31</v>
      </c>
      <c r="C118" s="28" t="s">
        <v>47</v>
      </c>
    </row>
    <row r="119" spans="2:3" x14ac:dyDescent="0.25">
      <c r="B119" s="29" t="s">
        <v>32</v>
      </c>
      <c r="C119" s="28" t="s">
        <v>48</v>
      </c>
    </row>
    <row r="120" spans="2:3" x14ac:dyDescent="0.25">
      <c r="B120" s="29" t="s">
        <v>33</v>
      </c>
      <c r="C120" s="28" t="s">
        <v>49</v>
      </c>
    </row>
    <row r="121" spans="2:3" x14ac:dyDescent="0.25">
      <c r="B121" s="29" t="s">
        <v>34</v>
      </c>
      <c r="C121" s="28" t="s">
        <v>96</v>
      </c>
    </row>
    <row r="122" spans="2:3" x14ac:dyDescent="0.25">
      <c r="B122" s="29" t="s">
        <v>35</v>
      </c>
      <c r="C122" s="28" t="s">
        <v>75</v>
      </c>
    </row>
    <row r="123" spans="2:3" x14ac:dyDescent="0.25">
      <c r="B123" s="29" t="s">
        <v>36</v>
      </c>
      <c r="C123" s="28" t="s">
        <v>111</v>
      </c>
    </row>
    <row r="124" spans="2:3" x14ac:dyDescent="0.25">
      <c r="B124" s="29" t="s">
        <v>37</v>
      </c>
      <c r="C124" s="28" t="s">
        <v>61</v>
      </c>
    </row>
    <row r="125" spans="2:3" x14ac:dyDescent="0.25">
      <c r="B125" s="29" t="s">
        <v>38</v>
      </c>
      <c r="C125" s="28"/>
    </row>
    <row r="126" spans="2:3" x14ac:dyDescent="0.25">
      <c r="B126" s="29" t="s">
        <v>39</v>
      </c>
      <c r="C126" s="28"/>
    </row>
    <row r="127" spans="2:3" x14ac:dyDescent="0.25">
      <c r="B127" s="29" t="s">
        <v>40</v>
      </c>
      <c r="C127" s="28"/>
    </row>
    <row r="128" spans="2:3" x14ac:dyDescent="0.25">
      <c r="B128" s="29" t="s">
        <v>41</v>
      </c>
      <c r="C128" s="28"/>
    </row>
    <row r="129" spans="2:3" x14ac:dyDescent="0.25">
      <c r="B129" s="29" t="s">
        <v>42</v>
      </c>
      <c r="C129" s="28"/>
    </row>
    <row r="130" spans="2:3" x14ac:dyDescent="0.25">
      <c r="B130" s="29" t="s">
        <v>43</v>
      </c>
      <c r="C130" s="28"/>
    </row>
    <row r="131" spans="2:3" x14ac:dyDescent="0.25">
      <c r="B131" s="29" t="s">
        <v>44</v>
      </c>
      <c r="C131" s="28" t="s">
        <v>77</v>
      </c>
    </row>
    <row r="132" spans="2:3" x14ac:dyDescent="0.25">
      <c r="B132" s="28" t="s">
        <v>109</v>
      </c>
      <c r="C132" s="28" t="s">
        <v>110</v>
      </c>
    </row>
    <row r="133" spans="2:3" x14ac:dyDescent="0.25">
      <c r="B133" s="29" t="s">
        <v>138</v>
      </c>
      <c r="C133" s="28" t="s">
        <v>110</v>
      </c>
    </row>
  </sheetData>
  <mergeCells count="2">
    <mergeCell ref="E1:K1"/>
    <mergeCell ref="H2:I2"/>
  </mergeCells>
  <pageMargins left="0.25" right="0.25" top="0.75" bottom="0.75" header="0.3" footer="0.3"/>
  <pageSetup paperSize="9" scale="81" orientation="portrait" horizontalDpi="4294967293" verticalDpi="0" r:id="rId1"/>
  <rowBreaks count="3" manualBreakCount="3">
    <brk id="62" max="16383" man="1"/>
    <brk id="63" max="16383" man="1"/>
    <brk id="6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5</vt:i4>
      </vt:variant>
    </vt:vector>
  </HeadingPairs>
  <TitlesOfParts>
    <vt:vector size="11" baseType="lpstr">
      <vt:lpstr>Mapa Injetoras</vt:lpstr>
      <vt:lpstr>Desenhos Técnicos</vt:lpstr>
      <vt:lpstr>Ficha Técnica</vt:lpstr>
      <vt:lpstr>Kanban</vt:lpstr>
      <vt:lpstr>Calendário</vt:lpstr>
      <vt:lpstr>Dados dos moldes</vt:lpstr>
      <vt:lpstr>'Dados dos moldes'!Area_de_impressao</vt:lpstr>
      <vt:lpstr>'Desenhos Técnicos'!Area_de_impressao</vt:lpstr>
      <vt:lpstr>'Ficha Técnica'!Area_de_impressao</vt:lpstr>
      <vt:lpstr>Kanban!Area_de_impressao</vt:lpstr>
      <vt:lpstr>'Mapa Injetoras'!Area_de_impressao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2026-10-16T18:57:03Z</dcterms:modified>
</cp:coreProperties>
</file>