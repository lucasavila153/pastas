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91505" yWindow="481995" windowWidth="14235" windowHeight="12675"/>
  </bookViews>
  <sheets>
    <sheet name="Plan1" sheetId="1" r:id="rId1"/>
    <sheet name="Plan2" sheetId="2" r:id="rId2"/>
    <sheet name="Plan3" sheetId="3" r:id="rId3"/>
  </sheets>
  <definedNames>
    <definedName name="_xlnm.Print_Area" localSheetId="0">Plan1!$A$1:$L$38</definedName>
  </definedNames>
  <calcPr calcId="144525"/>
</workbook>
</file>

<file path=xl/calcChain.xml><?xml version="1.0" encoding="utf-8"?>
<calcChain xmlns="http://schemas.openxmlformats.org/spreadsheetml/2006/main">
  <c r="K38" i="1" l="1"/>
  <c r="K37" i="1"/>
  <c r="I38" i="1"/>
  <c r="I37" i="1"/>
  <c r="K25" i="1"/>
  <c r="K24" i="1"/>
  <c r="I25" i="1"/>
  <c r="I24" i="1"/>
  <c r="K22" i="1"/>
  <c r="K21" i="1"/>
  <c r="I21" i="1"/>
  <c r="I22" i="1"/>
  <c r="L38" i="1" l="1"/>
  <c r="L37" i="1"/>
  <c r="L24" i="1" l="1"/>
  <c r="L25" i="1"/>
  <c r="L22" i="1"/>
  <c r="L21" i="1"/>
</calcChain>
</file>

<file path=xl/sharedStrings.xml><?xml version="1.0" encoding="utf-8"?>
<sst xmlns="http://schemas.openxmlformats.org/spreadsheetml/2006/main" count="46" uniqueCount="24">
  <si>
    <t>COMPARAÇÃO DIMENSIONAL - C.Q.</t>
  </si>
  <si>
    <t xml:space="preserve">Produto avaliado: </t>
  </si>
  <si>
    <t>Mínima</t>
  </si>
  <si>
    <t>Máxima</t>
  </si>
  <si>
    <t>Moldes</t>
  </si>
  <si>
    <t>Encaixes</t>
  </si>
  <si>
    <t>Interferência</t>
  </si>
  <si>
    <t>Lev. dimensionais utilizados</t>
  </si>
  <si>
    <t>Corpo</t>
  </si>
  <si>
    <t>Tampa</t>
  </si>
  <si>
    <t>Tampinha</t>
  </si>
  <si>
    <t>Ponta</t>
  </si>
  <si>
    <t>Conexão</t>
  </si>
  <si>
    <t>Máx. corpo</t>
  </si>
  <si>
    <t>Mín. corpo</t>
  </si>
  <si>
    <t>NA</t>
  </si>
  <si>
    <t>Pavio</t>
  </si>
  <si>
    <t>Esferográfica 07</t>
  </si>
  <si>
    <t>Montagem: frente do corpo x tampa 07</t>
  </si>
  <si>
    <t>Montagem: traseira do corpo x tampa 07</t>
  </si>
  <si>
    <t>Máx. tampa</t>
  </si>
  <si>
    <t>Mín. tampa</t>
  </si>
  <si>
    <t>181: 03/04/0025</t>
  </si>
  <si>
    <t>197: 01/04/2025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</si>
</sst>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4"/>
      <color theme="1"/>
      <name val="Tahoma"/>
      <family val="2"/>
    </font>
    <font>
      <b/>
      <sz val="6.5"/>
      <color theme="1"/>
      <name val="Tahoma"/>
      <family val="2"/>
    </font>
    <font>
      <sz val="11"/>
      <color theme="1"/>
      <name val="Tahoma"/>
      <family val="2"/>
    </font>
    <font>
      <sz val="10"/>
      <color theme="1"/>
      <name val="Tahoma"/>
      <family val="2"/>
    </font>
    <font>
      <sz val="9"/>
      <color theme="1"/>
      <name val="Tahoma"/>
      <family val="2"/>
    </font>
    <font>
      <sz val="8"/>
      <color theme="1"/>
      <name val="Tahoma"/>
      <family val="2"/>
    </font>
    <font>
      <sz val="6.5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4" fillId="0" borderId="0" xfId="0" applyFont="1" applyBorder="1" applyAlignment="1"/>
    <xf numFmtId="0" fontId="5" fillId="0" borderId="0" xfId="0" applyFont="1" applyBorder="1"/>
    <xf numFmtId="0" fontId="3" fillId="0" borderId="11" xfId="0" applyFont="1" applyBorder="1"/>
    <xf numFmtId="0" fontId="3" fillId="0" borderId="0" xfId="0" applyFont="1" applyBorder="1"/>
    <xf numFmtId="0" fontId="3" fillId="0" borderId="17" xfId="0" applyFont="1" applyBorder="1"/>
    <xf numFmtId="0" fontId="5" fillId="0" borderId="17" xfId="0" applyFont="1" applyBorder="1"/>
    <xf numFmtId="0" fontId="5" fillId="0" borderId="11" xfId="0" applyFont="1" applyBorder="1"/>
    <xf numFmtId="0" fontId="7" fillId="0" borderId="22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2" fontId="6" fillId="0" borderId="36" xfId="0" applyNumberFormat="1" applyFont="1" applyBorder="1" applyAlignment="1">
      <alignment horizontal="center"/>
    </xf>
    <xf numFmtId="0" fontId="6" fillId="2" borderId="36" xfId="0" applyFont="1" applyFill="1" applyBorder="1" applyAlignment="1">
      <alignment horizontal="center" vertical="center"/>
    </xf>
    <xf numFmtId="2" fontId="6" fillId="0" borderId="36" xfId="0" applyNumberFormat="1" applyFont="1" applyBorder="1" applyAlignment="1">
      <alignment horizontal="center" vertical="center"/>
    </xf>
    <xf numFmtId="2" fontId="6" fillId="0" borderId="37" xfId="0" applyNumberFormat="1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2" fontId="6" fillId="0" borderId="39" xfId="0" applyNumberFormat="1" applyFont="1" applyBorder="1" applyAlignment="1">
      <alignment horizontal="center"/>
    </xf>
    <xf numFmtId="2" fontId="6" fillId="0" borderId="39" xfId="0" applyNumberFormat="1" applyFont="1" applyBorder="1" applyAlignment="1">
      <alignment horizontal="center" vertical="center"/>
    </xf>
    <xf numFmtId="2" fontId="6" fillId="0" borderId="40" xfId="0" applyNumberFormat="1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2" fontId="6" fillId="0" borderId="41" xfId="0" applyNumberFormat="1" applyFont="1" applyBorder="1" applyAlignment="1">
      <alignment horizontal="center"/>
    </xf>
    <xf numFmtId="2" fontId="6" fillId="0" borderId="42" xfId="0" applyNumberFormat="1" applyFont="1" applyBorder="1" applyAlignment="1">
      <alignment horizontal="center"/>
    </xf>
    <xf numFmtId="0" fontId="6" fillId="2" borderId="41" xfId="0" applyFont="1" applyFill="1" applyBorder="1" applyAlignment="1">
      <alignment horizontal="center" vertical="center"/>
    </xf>
    <xf numFmtId="0" fontId="6" fillId="2" borderId="42" xfId="0" applyFont="1" applyFill="1" applyBorder="1" applyAlignment="1">
      <alignment horizontal="center" vertical="center"/>
    </xf>
    <xf numFmtId="2" fontId="6" fillId="0" borderId="43" xfId="0" applyNumberFormat="1" applyFont="1" applyBorder="1" applyAlignment="1">
      <alignment horizontal="center"/>
    </xf>
    <xf numFmtId="2" fontId="6" fillId="0" borderId="44" xfId="0" applyNumberFormat="1" applyFont="1" applyBorder="1" applyAlignment="1">
      <alignment horizontal="center"/>
    </xf>
    <xf numFmtId="2" fontId="6" fillId="0" borderId="40" xfId="0" applyNumberFormat="1" applyFont="1" applyBorder="1" applyAlignment="1">
      <alignment horizontal="center" vertical="center"/>
    </xf>
    <xf numFmtId="2" fontId="6" fillId="0" borderId="37" xfId="0" applyNumberFormat="1" applyFont="1" applyBorder="1" applyAlignment="1">
      <alignment horizontal="center" vertical="center"/>
    </xf>
    <xf numFmtId="0" fontId="6" fillId="2" borderId="33" xfId="0" applyFont="1" applyFill="1" applyBorder="1" applyAlignment="1">
      <alignment horizontal="center" vertical="center"/>
    </xf>
    <xf numFmtId="2" fontId="6" fillId="0" borderId="39" xfId="0" quotePrefix="1" applyNumberFormat="1" applyFont="1" applyBorder="1" applyAlignment="1">
      <alignment horizontal="center" vertical="center"/>
    </xf>
    <xf numFmtId="2" fontId="6" fillId="3" borderId="43" xfId="0" applyNumberFormat="1" applyFont="1" applyFill="1" applyBorder="1" applyAlignment="1">
      <alignment horizontal="center"/>
    </xf>
    <xf numFmtId="2" fontId="6" fillId="0" borderId="43" xfId="0" applyNumberFormat="1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16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4" fontId="7" fillId="0" borderId="23" xfId="0" applyNumberFormat="1" applyFont="1" applyBorder="1" applyAlignment="1">
      <alignment horizontal="left" vertical="center"/>
    </xf>
    <xf numFmtId="14" fontId="7" fillId="0" borderId="24" xfId="0" applyNumberFormat="1" applyFont="1" applyBorder="1" applyAlignment="1">
      <alignment horizontal="left" vertical="center"/>
    </xf>
    <xf numFmtId="14" fontId="7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14" fontId="7" fillId="0" borderId="26" xfId="0" applyNumberFormat="1" applyFont="1" applyBorder="1" applyAlignment="1">
      <alignment horizontal="left" vertical="center"/>
    </xf>
    <xf numFmtId="14" fontId="0" fillId="0" borderId="26" xfId="0" applyNumberFormat="1" applyBorder="1" applyAlignment="1">
      <alignment horizontal="left" vertical="center"/>
    </xf>
    <xf numFmtId="14" fontId="0" fillId="0" borderId="27" xfId="0" applyNumberFormat="1" applyBorder="1" applyAlignment="1">
      <alignment horizontal="left" vertical="center"/>
    </xf>
    <xf numFmtId="14" fontId="7" fillId="0" borderId="15" xfId="0" applyNumberFormat="1" applyFont="1" applyBorder="1" applyAlignment="1">
      <alignment horizontal="left" vertical="center"/>
    </xf>
    <xf numFmtId="46" fontId="7" fillId="0" borderId="5" xfId="0" applyNumberFormat="1" applyFont="1" applyBorder="1" applyAlignment="1">
      <alignment horizontal="left" vertical="center"/>
    </xf>
    <xf numFmtId="0" fontId="7" fillId="0" borderId="23" xfId="0" quotePrefix="1" applyNumberFormat="1" applyFont="1" applyBorder="1" applyAlignment="1">
      <alignment horizontal="left" vertical="center"/>
    </xf>
    <xf numFmtId="2" fontId="6" fillId="0" borderId="44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76200</xdr:rowOff>
    </xdr:from>
    <xdr:to>
      <xdr:col>1</xdr:col>
      <xdr:colOff>542925</xdr:colOff>
      <xdr:row>0</xdr:row>
      <xdr:rowOff>475276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4300" y="76200"/>
          <a:ext cx="1038225" cy="3990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281605</xdr:colOff>
      <xdr:row>19</xdr:row>
      <xdr:rowOff>99392</xdr:rowOff>
    </xdr:from>
    <xdr:to>
      <xdr:col>11</xdr:col>
      <xdr:colOff>468453</xdr:colOff>
      <xdr:row>19</xdr:row>
      <xdr:rowOff>99392</xdr:rowOff>
    </xdr:to>
    <xdr:cxnSp macro="">
      <xdr:nvCxnSpPr>
        <xdr:cNvPr id="26" name="Conector reto 25"/>
        <xdr:cNvCxnSpPr/>
      </xdr:nvCxnSpPr>
      <xdr:spPr>
        <a:xfrm>
          <a:off x="281605" y="3081131"/>
          <a:ext cx="7020000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447675</xdr:colOff>
      <xdr:row>11</xdr:row>
      <xdr:rowOff>36324</xdr:rowOff>
    </xdr:from>
    <xdr:to>
      <xdr:col>9</xdr:col>
      <xdr:colOff>514350</xdr:colOff>
      <xdr:row>16</xdr:row>
      <xdr:rowOff>16874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20000" contrast="20000"/>
        </a:blip>
        <a:srcRect l="14585" t="35546" r="5345" b="34912"/>
        <a:stretch>
          <a:fillRect/>
        </a:stretch>
      </xdr:blipFill>
      <xdr:spPr bwMode="auto">
        <a:xfrm flipH="1">
          <a:off x="1704975" y="2541399"/>
          <a:ext cx="4495800" cy="9330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571500</xdr:colOff>
      <xdr:row>27</xdr:row>
      <xdr:rowOff>104775</xdr:rowOff>
    </xdr:from>
    <xdr:to>
      <xdr:col>9</xdr:col>
      <xdr:colOff>513865</xdr:colOff>
      <xdr:row>32</xdr:row>
      <xdr:rowOff>84675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lum bright="20000" contrast="40000"/>
        </a:blip>
        <a:srcRect l="13437" t="33148" r="4271" b="35648"/>
        <a:stretch>
          <a:fillRect/>
        </a:stretch>
      </xdr:blipFill>
      <xdr:spPr bwMode="auto">
        <a:xfrm flipH="1">
          <a:off x="1828800" y="4991100"/>
          <a:ext cx="4371490" cy="93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57151</xdr:colOff>
      <xdr:row>4</xdr:row>
      <xdr:rowOff>101311</xdr:rowOff>
    </xdr:from>
    <xdr:to>
      <xdr:col>7</xdr:col>
      <xdr:colOff>685801</xdr:colOff>
      <xdr:row>6</xdr:row>
      <xdr:rowOff>104775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 l="14288" t="48948" r="5494" b="39940"/>
        <a:stretch>
          <a:fillRect/>
        </a:stretch>
      </xdr:blipFill>
      <xdr:spPr bwMode="auto">
        <a:xfrm>
          <a:off x="57151" y="1263361"/>
          <a:ext cx="4933950" cy="38446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195695</xdr:colOff>
      <xdr:row>12</xdr:row>
      <xdr:rowOff>77065</xdr:rowOff>
    </xdr:from>
    <xdr:to>
      <xdr:col>6</xdr:col>
      <xdr:colOff>195695</xdr:colOff>
      <xdr:row>15</xdr:row>
      <xdr:rowOff>27565</xdr:rowOff>
    </xdr:to>
    <xdr:cxnSp macro="">
      <xdr:nvCxnSpPr>
        <xdr:cNvPr id="8" name="Conector reto 7"/>
        <xdr:cNvCxnSpPr/>
      </xdr:nvCxnSpPr>
      <xdr:spPr>
        <a:xfrm flipV="1">
          <a:off x="3897456" y="2770042"/>
          <a:ext cx="0" cy="52200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542925</xdr:colOff>
      <xdr:row>12</xdr:row>
      <xdr:rowOff>95250</xdr:rowOff>
    </xdr:from>
    <xdr:to>
      <xdr:col>4</xdr:col>
      <xdr:colOff>542925</xdr:colOff>
      <xdr:row>15</xdr:row>
      <xdr:rowOff>20550</xdr:rowOff>
    </xdr:to>
    <xdr:cxnSp macro="">
      <xdr:nvCxnSpPr>
        <xdr:cNvPr id="9" name="Conector reto 8"/>
        <xdr:cNvCxnSpPr/>
      </xdr:nvCxnSpPr>
      <xdr:spPr>
        <a:xfrm flipV="1">
          <a:off x="3019425" y="2790825"/>
          <a:ext cx="0" cy="496800"/>
        </a:xfrm>
        <a:prstGeom prst="line">
          <a:avLst/>
        </a:prstGeom>
        <a:ln w="1905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281605</xdr:colOff>
      <xdr:row>22</xdr:row>
      <xdr:rowOff>99392</xdr:rowOff>
    </xdr:from>
    <xdr:to>
      <xdr:col>11</xdr:col>
      <xdr:colOff>468453</xdr:colOff>
      <xdr:row>22</xdr:row>
      <xdr:rowOff>99392</xdr:rowOff>
    </xdr:to>
    <xdr:cxnSp macro="">
      <xdr:nvCxnSpPr>
        <xdr:cNvPr id="10" name="Conector reto 9"/>
        <xdr:cNvCxnSpPr/>
      </xdr:nvCxnSpPr>
      <xdr:spPr>
        <a:xfrm>
          <a:off x="281605" y="4137992"/>
          <a:ext cx="7178198" cy="0"/>
        </a:xfrm>
        <a:prstGeom prst="line">
          <a:avLst/>
        </a:prstGeom>
        <a:ln w="3810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281605</xdr:colOff>
      <xdr:row>35</xdr:row>
      <xdr:rowOff>99392</xdr:rowOff>
    </xdr:from>
    <xdr:to>
      <xdr:col>11</xdr:col>
      <xdr:colOff>468453</xdr:colOff>
      <xdr:row>35</xdr:row>
      <xdr:rowOff>99392</xdr:rowOff>
    </xdr:to>
    <xdr:cxnSp macro="">
      <xdr:nvCxnSpPr>
        <xdr:cNvPr id="11" name="Conector reto 10"/>
        <xdr:cNvCxnSpPr/>
      </xdr:nvCxnSpPr>
      <xdr:spPr>
        <a:xfrm>
          <a:off x="281605" y="4137992"/>
          <a:ext cx="7178198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304800</xdr:colOff>
      <xdr:row>28</xdr:row>
      <xdr:rowOff>104774</xdr:rowOff>
    </xdr:from>
    <xdr:to>
      <xdr:col>6</xdr:col>
      <xdr:colOff>304800</xdr:colOff>
      <xdr:row>31</xdr:row>
      <xdr:rowOff>109274</xdr:rowOff>
    </xdr:to>
    <xdr:cxnSp macro="">
      <xdr:nvCxnSpPr>
        <xdr:cNvPr id="12" name="Conector reto 11"/>
        <xdr:cNvCxnSpPr/>
      </xdr:nvCxnSpPr>
      <xdr:spPr>
        <a:xfrm flipV="1">
          <a:off x="4000500" y="5772149"/>
          <a:ext cx="0" cy="57600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7"/>
  <sheetViews>
    <sheetView tabSelected="1" topLeftCell="A10" zoomScale="175" zoomScaleNormal="175" zoomScaleSheetLayoutView="100" workbookViewId="0">
      <selection activeCell="H22" sqref="H22:L22"/>
    </sheetView>
  </sheetViews>
  <sheetFormatPr defaultRowHeight="15" x14ac:dyDescent="0.25"/>
  <cols>
    <col min="2" max="2" width="9.7109375" customWidth="1"/>
    <col min="8" max="8" width="10.7109375" customWidth="1"/>
    <col min="9" max="9" width="10" customWidth="1"/>
    <col min="10" max="10" width="10.42578125" customWidth="1"/>
    <col min="12" max="12" width="11.85546875" customWidth="1"/>
  </cols>
  <sheetData>
    <row r="1" spans="1:15" ht="45" customHeight="1" thickBot="1" x14ac:dyDescent="0.3">
      <c r="A1" s="59"/>
      <c r="B1" s="60"/>
      <c r="C1" s="61" t="s">
        <v>0</v>
      </c>
      <c r="D1" s="62"/>
      <c r="E1" s="62"/>
      <c r="F1" s="62"/>
      <c r="G1" s="62"/>
      <c r="H1" s="62"/>
      <c r="I1" s="62"/>
      <c r="J1" s="62"/>
      <c r="K1" s="62"/>
      <c r="L1" s="63"/>
      <c r="M1" s="4"/>
      <c r="N1" s="4"/>
      <c r="O1" s="4"/>
    </row>
    <row r="2" spans="1:15" ht="15.75" thickBot="1" x14ac:dyDescent="0.3">
      <c r="A2" s="66" t="s">
        <v>1</v>
      </c>
      <c r="B2" s="67"/>
      <c r="C2" s="64" t="s">
        <v>17</v>
      </c>
      <c r="D2" s="64"/>
      <c r="E2" s="64"/>
      <c r="F2" s="64"/>
      <c r="G2" s="64"/>
      <c r="H2" s="64"/>
      <c r="I2" s="64"/>
      <c r="J2" s="64"/>
      <c r="K2" s="64"/>
      <c r="L2" s="65"/>
      <c r="M2" s="5"/>
      <c r="N2" s="5"/>
      <c r="O2" s="5"/>
    </row>
    <row r="3" spans="1:15" ht="15.75" thickBot="1" x14ac:dyDescent="0.3">
      <c r="A3" s="68"/>
      <c r="B3" s="69"/>
      <c r="C3" s="69"/>
      <c r="D3" s="69"/>
      <c r="E3" s="69"/>
      <c r="F3" s="69"/>
      <c r="G3" s="69"/>
      <c r="H3" s="70"/>
      <c r="I3" s="77" t="s">
        <v>7</v>
      </c>
      <c r="J3" s="78"/>
      <c r="K3" s="78"/>
      <c r="L3" s="79"/>
      <c r="M3" s="5"/>
      <c r="N3" s="5"/>
      <c r="O3" s="5"/>
    </row>
    <row r="4" spans="1:15" x14ac:dyDescent="0.25">
      <c r="A4" s="71"/>
      <c r="B4" s="72"/>
      <c r="C4" s="72"/>
      <c r="D4" s="72"/>
      <c r="E4" s="72"/>
      <c r="F4" s="72"/>
      <c r="G4" s="72"/>
      <c r="H4" s="73"/>
      <c r="I4" s="12" t="s">
        <v>8</v>
      </c>
      <c r="J4" s="92" t="s">
        <v>23</v>
      </c>
      <c r="K4" s="80"/>
      <c r="L4" s="81"/>
      <c r="M4" s="5"/>
      <c r="N4" s="5"/>
      <c r="O4" s="5"/>
    </row>
    <row r="5" spans="1:15" x14ac:dyDescent="0.25">
      <c r="A5" s="71"/>
      <c r="B5" s="72"/>
      <c r="C5" s="72"/>
      <c r="D5" s="72"/>
      <c r="E5" s="72"/>
      <c r="F5" s="72"/>
      <c r="G5" s="72"/>
      <c r="H5" s="73"/>
      <c r="I5" s="13" t="s">
        <v>9</v>
      </c>
      <c r="J5" s="91" t="s">
        <v>22</v>
      </c>
      <c r="K5" s="83"/>
      <c r="L5" s="84"/>
      <c r="M5" s="5"/>
      <c r="N5" s="5"/>
      <c r="O5" s="5"/>
    </row>
    <row r="6" spans="1:15" x14ac:dyDescent="0.25">
      <c r="A6" s="71"/>
      <c r="B6" s="72"/>
      <c r="C6" s="72"/>
      <c r="D6" s="72"/>
      <c r="E6" s="72"/>
      <c r="F6" s="72"/>
      <c r="G6" s="72"/>
      <c r="H6" s="73"/>
      <c r="I6" s="13" t="s">
        <v>12</v>
      </c>
      <c r="J6" s="82" t="s">
        <v>15</v>
      </c>
      <c r="K6" s="82"/>
      <c r="L6" s="90"/>
      <c r="M6" s="5"/>
      <c r="N6" s="5"/>
      <c r="O6" s="5"/>
    </row>
    <row r="7" spans="1:15" x14ac:dyDescent="0.25">
      <c r="A7" s="71"/>
      <c r="B7" s="72"/>
      <c r="C7" s="72"/>
      <c r="D7" s="72"/>
      <c r="E7" s="72"/>
      <c r="F7" s="72"/>
      <c r="G7" s="72"/>
      <c r="H7" s="73"/>
      <c r="I7" s="13" t="s">
        <v>10</v>
      </c>
      <c r="J7" s="82" t="s">
        <v>15</v>
      </c>
      <c r="K7" s="85"/>
      <c r="L7" s="86"/>
      <c r="M7" s="5"/>
      <c r="N7" s="5"/>
      <c r="O7" s="5"/>
    </row>
    <row r="8" spans="1:15" x14ac:dyDescent="0.25">
      <c r="A8" s="71"/>
      <c r="B8" s="72"/>
      <c r="C8" s="72"/>
      <c r="D8" s="72"/>
      <c r="E8" s="72"/>
      <c r="F8" s="72"/>
      <c r="G8" s="72"/>
      <c r="H8" s="73"/>
      <c r="I8" s="15" t="s">
        <v>16</v>
      </c>
      <c r="J8" s="82" t="s">
        <v>15</v>
      </c>
      <c r="K8" s="82"/>
      <c r="L8" s="90"/>
      <c r="M8" s="5"/>
      <c r="N8" s="5"/>
      <c r="O8" s="5"/>
    </row>
    <row r="9" spans="1:15" ht="15" customHeight="1" thickBot="1" x14ac:dyDescent="0.3">
      <c r="A9" s="74"/>
      <c r="B9" s="75"/>
      <c r="C9" s="75"/>
      <c r="D9" s="75"/>
      <c r="E9" s="75"/>
      <c r="F9" s="75"/>
      <c r="G9" s="75"/>
      <c r="H9" s="76"/>
      <c r="I9" s="14" t="s">
        <v>11</v>
      </c>
      <c r="J9" s="87" t="s">
        <v>15</v>
      </c>
      <c r="K9" s="88"/>
      <c r="L9" s="89"/>
      <c r="M9" s="1"/>
      <c r="N9" s="1"/>
      <c r="O9" s="1"/>
    </row>
    <row r="10" spans="1:15" ht="15.75" thickBot="1" x14ac:dyDescent="0.3">
      <c r="A10" s="56" t="s">
        <v>18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8"/>
      <c r="M10" s="3"/>
      <c r="N10" s="3"/>
      <c r="O10" s="3"/>
    </row>
    <row r="11" spans="1:15" x14ac:dyDescent="0.25">
      <c r="A11" s="7"/>
      <c r="B11" s="8"/>
      <c r="C11" s="8"/>
      <c r="D11" s="8"/>
      <c r="E11" s="8"/>
      <c r="F11" s="8"/>
      <c r="G11" s="8"/>
      <c r="H11" s="8"/>
      <c r="I11" s="8"/>
      <c r="J11" s="8"/>
      <c r="K11" s="8"/>
      <c r="L11" s="9"/>
      <c r="M11" s="1"/>
      <c r="N11" s="1"/>
      <c r="O11" s="1"/>
    </row>
    <row r="12" spans="1:15" x14ac:dyDescent="0.25">
      <c r="A12" s="7"/>
      <c r="B12" s="8"/>
      <c r="C12" s="8"/>
      <c r="D12" s="8"/>
      <c r="E12" s="8"/>
      <c r="F12" s="8"/>
      <c r="G12" s="8"/>
      <c r="H12" s="8"/>
      <c r="I12" s="8"/>
      <c r="J12" s="8"/>
      <c r="K12" s="8"/>
      <c r="L12" s="9"/>
      <c r="M12" s="1"/>
      <c r="N12" s="1"/>
      <c r="O12" s="1"/>
    </row>
    <row r="13" spans="1:15" ht="15" customHeight="1" x14ac:dyDescent="0.25">
      <c r="A13" s="7"/>
      <c r="B13" s="8"/>
      <c r="C13" s="8"/>
      <c r="D13" s="8"/>
      <c r="E13" s="8"/>
      <c r="F13" s="8"/>
      <c r="G13" s="8"/>
      <c r="H13" s="8"/>
      <c r="I13" s="8"/>
      <c r="J13" s="8"/>
      <c r="K13" s="8"/>
      <c r="L13" s="9"/>
      <c r="M13" s="1"/>
      <c r="N13" s="1"/>
      <c r="O13" s="1"/>
    </row>
    <row r="14" spans="1:15" x14ac:dyDescent="0.25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L14" s="9"/>
      <c r="M14" s="1"/>
      <c r="N14" s="1"/>
      <c r="O14" s="1"/>
    </row>
    <row r="15" spans="1:15" x14ac:dyDescent="0.25">
      <c r="A15" s="7"/>
      <c r="B15" s="8"/>
      <c r="C15" s="8"/>
      <c r="D15" s="8"/>
      <c r="E15" s="8"/>
      <c r="F15" s="8"/>
      <c r="G15" s="8"/>
      <c r="H15" s="8"/>
      <c r="I15" s="8"/>
      <c r="J15" s="8"/>
      <c r="K15" s="8"/>
      <c r="L15" s="9"/>
      <c r="M15" s="1"/>
      <c r="N15" s="1"/>
      <c r="O15" s="1"/>
    </row>
    <row r="16" spans="1:15" x14ac:dyDescent="0.25">
      <c r="A16" s="7"/>
      <c r="B16" s="8"/>
      <c r="C16" s="8"/>
      <c r="D16" s="8"/>
      <c r="E16" s="8"/>
      <c r="F16" s="8"/>
      <c r="G16" s="8"/>
      <c r="H16" s="8"/>
      <c r="I16" s="8"/>
      <c r="J16" s="8"/>
      <c r="K16" s="8"/>
      <c r="L16" s="9"/>
      <c r="M16" s="1"/>
      <c r="N16" s="1"/>
      <c r="O16" s="1"/>
    </row>
    <row r="17" spans="1:15" ht="15.75" thickBot="1" x14ac:dyDescent="0.3">
      <c r="A17" s="7"/>
      <c r="B17" s="8"/>
      <c r="C17" s="8"/>
      <c r="D17" s="8"/>
      <c r="E17" s="8"/>
      <c r="F17" s="8"/>
      <c r="G17" s="8"/>
      <c r="H17" s="8"/>
      <c r="I17" s="8"/>
      <c r="J17" s="8"/>
      <c r="K17" s="8"/>
      <c r="L17" s="9"/>
      <c r="M17" s="1"/>
      <c r="N17" s="1"/>
      <c r="O17" s="1"/>
    </row>
    <row r="18" spans="1:15" x14ac:dyDescent="0.25">
      <c r="A18" s="41" t="s">
        <v>8</v>
      </c>
      <c r="B18" s="42"/>
      <c r="C18" s="42"/>
      <c r="D18" s="43"/>
      <c r="E18" s="44" t="s">
        <v>9</v>
      </c>
      <c r="F18" s="42"/>
      <c r="G18" s="43"/>
      <c r="H18" s="45" t="s">
        <v>5</v>
      </c>
      <c r="I18" s="46"/>
      <c r="J18" s="46"/>
      <c r="K18" s="47"/>
      <c r="L18" s="51" t="s">
        <v>6</v>
      </c>
      <c r="M18" s="1"/>
      <c r="N18" s="1"/>
      <c r="O18" s="1"/>
    </row>
    <row r="19" spans="1:15" x14ac:dyDescent="0.25">
      <c r="A19" s="23" t="s">
        <v>4</v>
      </c>
      <c r="B19" s="16">
        <v>197</v>
      </c>
      <c r="C19" s="16"/>
      <c r="D19" s="17"/>
      <c r="E19" s="28">
        <v>181</v>
      </c>
      <c r="F19" s="16"/>
      <c r="G19" s="17"/>
      <c r="H19" s="48"/>
      <c r="I19" s="49"/>
      <c r="J19" s="49"/>
      <c r="K19" s="50"/>
      <c r="L19" s="52"/>
      <c r="M19" s="1"/>
      <c r="N19" s="1"/>
      <c r="O19" s="1"/>
    </row>
    <row r="20" spans="1:15" x14ac:dyDescent="0.25">
      <c r="A20" s="53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5"/>
      <c r="M20" s="2"/>
      <c r="N20" s="2"/>
      <c r="O20" s="2"/>
    </row>
    <row r="21" spans="1:15" x14ac:dyDescent="0.25">
      <c r="A21" s="24" t="s">
        <v>2</v>
      </c>
      <c r="B21" s="25">
        <v>7.33</v>
      </c>
      <c r="C21" s="25"/>
      <c r="D21" s="27"/>
      <c r="E21" s="29">
        <v>7.23</v>
      </c>
      <c r="F21" s="25"/>
      <c r="G21" s="27"/>
      <c r="H21" s="31" t="s">
        <v>14</v>
      </c>
      <c r="I21" s="38">
        <f>MIN(B21:D21)</f>
        <v>7.33</v>
      </c>
      <c r="J21" s="37" t="s">
        <v>20</v>
      </c>
      <c r="K21" s="35">
        <f>IFERROR(LARGE(E22:F22,1),"")</f>
        <v>7.3</v>
      </c>
      <c r="L21" s="40">
        <f>IFERROR(K21-I21,"")</f>
        <v>-3.0000000000000249E-2</v>
      </c>
      <c r="M21" s="2"/>
      <c r="N21" s="2"/>
      <c r="O21" s="2"/>
    </row>
    <row r="22" spans="1:15" ht="15.75" thickBot="1" x14ac:dyDescent="0.3">
      <c r="A22" s="18" t="s">
        <v>3</v>
      </c>
      <c r="B22" s="19">
        <v>7.44</v>
      </c>
      <c r="C22" s="19"/>
      <c r="D22" s="22"/>
      <c r="E22" s="30">
        <v>7.3</v>
      </c>
      <c r="F22" s="19"/>
      <c r="G22" s="22"/>
      <c r="H22" s="32" t="s">
        <v>13</v>
      </c>
      <c r="I22" s="21">
        <f>IFERROR(LARGE(B22:D22,1),"")</f>
        <v>7.44</v>
      </c>
      <c r="J22" s="20" t="s">
        <v>21</v>
      </c>
      <c r="K22" s="36">
        <f>IFERROR(SMALL(E21:F21,1),"")</f>
        <v>7.23</v>
      </c>
      <c r="L22" s="93">
        <f>IFERROR(K22-I22,"")</f>
        <v>-0.20999999999999996</v>
      </c>
      <c r="M22" s="2"/>
      <c r="N22" s="2"/>
      <c r="O22" s="2"/>
    </row>
    <row r="23" spans="1:15" x14ac:dyDescent="0.25">
      <c r="A23" s="53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5"/>
      <c r="M23" s="2"/>
      <c r="N23" s="2"/>
      <c r="O23" s="2"/>
    </row>
    <row r="24" spans="1:15" x14ac:dyDescent="0.25">
      <c r="A24" s="24" t="s">
        <v>2</v>
      </c>
      <c r="B24" s="25">
        <v>7.14</v>
      </c>
      <c r="C24" s="25"/>
      <c r="D24" s="27"/>
      <c r="E24" s="29">
        <v>7.19</v>
      </c>
      <c r="F24" s="25"/>
      <c r="G24" s="27"/>
      <c r="H24" s="31" t="s">
        <v>14</v>
      </c>
      <c r="I24" s="26">
        <f>IFERROR(SMALL(B24:D24,1),"")</f>
        <v>7.14</v>
      </c>
      <c r="J24" s="37" t="s">
        <v>20</v>
      </c>
      <c r="K24" s="35">
        <f>IFERROR(LARGE(E25:F25,1),"")</f>
        <v>7.29</v>
      </c>
      <c r="L24" s="33">
        <f>IFERROR(K24-I24,"")</f>
        <v>0.15000000000000036</v>
      </c>
      <c r="M24" s="2"/>
      <c r="N24" s="2"/>
      <c r="O24" s="2"/>
    </row>
    <row r="25" spans="1:15" ht="15.75" thickBot="1" x14ac:dyDescent="0.3">
      <c r="A25" s="18" t="s">
        <v>3</v>
      </c>
      <c r="B25" s="19">
        <v>7.18</v>
      </c>
      <c r="C25" s="19"/>
      <c r="D25" s="22"/>
      <c r="E25" s="30">
        <v>7.29</v>
      </c>
      <c r="F25" s="19"/>
      <c r="G25" s="22"/>
      <c r="H25" s="32" t="s">
        <v>13</v>
      </c>
      <c r="I25" s="21">
        <f>IFERROR(LARGE(B25:D25,1),"")</f>
        <v>7.18</v>
      </c>
      <c r="J25" s="20" t="s">
        <v>21</v>
      </c>
      <c r="K25" s="36">
        <f>IFERROR(SMALL(E24:F24,1),"")</f>
        <v>7.19</v>
      </c>
      <c r="L25" s="34">
        <f>IFERROR(K25-I25,"")</f>
        <v>1.0000000000000675E-2</v>
      </c>
      <c r="M25" s="2"/>
      <c r="N25" s="2"/>
      <c r="O25" s="2"/>
    </row>
    <row r="26" spans="1:15" ht="6" customHeight="1" thickBot="1" x14ac:dyDescent="0.3">
      <c r="A26" s="71"/>
      <c r="B26" s="72"/>
      <c r="C26" s="72"/>
      <c r="D26" s="72"/>
      <c r="E26" s="72"/>
      <c r="F26" s="72"/>
      <c r="G26" s="72"/>
      <c r="H26" s="6"/>
      <c r="I26" s="6"/>
      <c r="J26" s="6"/>
      <c r="K26" s="6"/>
      <c r="L26" s="10"/>
      <c r="M26" s="6"/>
      <c r="N26" s="6"/>
      <c r="O26" s="2"/>
    </row>
    <row r="27" spans="1:15" ht="15.75" thickBot="1" x14ac:dyDescent="0.3">
      <c r="A27" s="56" t="s">
        <v>19</v>
      </c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8"/>
      <c r="M27" s="1"/>
      <c r="N27" s="1"/>
      <c r="O27" s="1"/>
    </row>
    <row r="28" spans="1:15" x14ac:dyDescent="0.25">
      <c r="A28" s="11"/>
      <c r="B28" s="6"/>
      <c r="C28" s="6"/>
      <c r="D28" s="6"/>
      <c r="E28" s="6"/>
      <c r="F28" s="6"/>
      <c r="G28" s="6"/>
      <c r="H28" s="6"/>
      <c r="I28" s="6"/>
      <c r="J28" s="6"/>
      <c r="K28" s="6"/>
      <c r="L28" s="10"/>
      <c r="M28" s="1"/>
      <c r="N28" s="1"/>
      <c r="O28" s="1"/>
    </row>
    <row r="29" spans="1:15" x14ac:dyDescent="0.25">
      <c r="A29" s="11"/>
      <c r="B29" s="6"/>
      <c r="C29" s="6"/>
      <c r="D29" s="6"/>
      <c r="E29" s="6"/>
      <c r="F29" s="6"/>
      <c r="G29" s="6"/>
      <c r="H29" s="6"/>
      <c r="I29" s="6"/>
      <c r="J29" s="6"/>
      <c r="K29" s="6"/>
      <c r="L29" s="10"/>
      <c r="M29" s="1"/>
      <c r="N29" s="1"/>
      <c r="O29" s="1"/>
    </row>
    <row r="30" spans="1:15" x14ac:dyDescent="0.25">
      <c r="A30" s="11"/>
      <c r="B30" s="6"/>
      <c r="C30" s="6"/>
      <c r="D30" s="6"/>
      <c r="E30" s="6"/>
      <c r="F30" s="6"/>
      <c r="G30" s="6"/>
      <c r="H30" s="6"/>
      <c r="I30" s="6"/>
      <c r="J30" s="6"/>
      <c r="K30" s="6"/>
      <c r="L30" s="10"/>
      <c r="M30" s="1"/>
      <c r="N30" s="1"/>
      <c r="O30" s="1"/>
    </row>
    <row r="31" spans="1:15" x14ac:dyDescent="0.25">
      <c r="A31" s="11"/>
      <c r="B31" s="6"/>
      <c r="C31" s="6"/>
      <c r="D31" s="6"/>
      <c r="E31" s="6"/>
      <c r="F31" s="6"/>
      <c r="G31" s="6"/>
      <c r="H31" s="6"/>
      <c r="I31" s="6"/>
      <c r="J31" s="6"/>
      <c r="K31" s="6"/>
      <c r="L31" s="10"/>
      <c r="M31" s="1"/>
      <c r="N31" s="1"/>
      <c r="O31" s="1"/>
    </row>
    <row r="32" spans="1:15" x14ac:dyDescent="0.25">
      <c r="A32" s="11"/>
      <c r="B32" s="6"/>
      <c r="C32" s="6"/>
      <c r="D32" s="6"/>
      <c r="E32" s="6"/>
      <c r="F32" s="6"/>
      <c r="G32" s="6"/>
      <c r="H32" s="6"/>
      <c r="I32" s="6"/>
      <c r="J32" s="6"/>
      <c r="K32" s="6"/>
      <c r="L32" s="10"/>
      <c r="M32" s="1"/>
      <c r="N32" s="1"/>
      <c r="O32" s="1"/>
    </row>
    <row r="33" spans="1:15" ht="15.75" thickBot="1" x14ac:dyDescent="0.3">
      <c r="A33" s="11"/>
      <c r="B33" s="6"/>
      <c r="C33" s="6"/>
      <c r="D33" s="6"/>
      <c r="E33" s="6"/>
      <c r="F33" s="6"/>
      <c r="G33" s="6"/>
      <c r="H33" s="6"/>
      <c r="I33" s="6"/>
      <c r="J33" s="6"/>
      <c r="K33" s="6"/>
      <c r="L33" s="10"/>
      <c r="M33" s="1"/>
      <c r="N33" s="1"/>
      <c r="O33" s="1"/>
    </row>
    <row r="34" spans="1:15" x14ac:dyDescent="0.25">
      <c r="A34" s="41" t="s">
        <v>8</v>
      </c>
      <c r="B34" s="42"/>
      <c r="C34" s="42"/>
      <c r="D34" s="43"/>
      <c r="E34" s="44" t="s">
        <v>9</v>
      </c>
      <c r="F34" s="42"/>
      <c r="G34" s="43"/>
      <c r="H34" s="45" t="s">
        <v>5</v>
      </c>
      <c r="I34" s="46"/>
      <c r="J34" s="46"/>
      <c r="K34" s="47"/>
      <c r="L34" s="51" t="s">
        <v>6</v>
      </c>
      <c r="M34" s="1"/>
      <c r="N34" s="1"/>
      <c r="O34" s="1"/>
    </row>
    <row r="35" spans="1:15" x14ac:dyDescent="0.25">
      <c r="A35" s="23" t="s">
        <v>4</v>
      </c>
      <c r="B35" s="16">
        <v>197</v>
      </c>
      <c r="C35" s="16"/>
      <c r="D35" s="17"/>
      <c r="E35" s="28">
        <v>181</v>
      </c>
      <c r="F35" s="16"/>
      <c r="G35" s="17"/>
      <c r="H35" s="48"/>
      <c r="I35" s="49"/>
      <c r="J35" s="49"/>
      <c r="K35" s="50"/>
      <c r="L35" s="52"/>
      <c r="M35" s="1"/>
      <c r="N35" s="1"/>
      <c r="O35" s="1"/>
    </row>
    <row r="36" spans="1:15" x14ac:dyDescent="0.25">
      <c r="A36" s="53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5"/>
      <c r="M36" s="1"/>
      <c r="N36" s="1"/>
      <c r="O36" s="1"/>
    </row>
    <row r="37" spans="1:15" x14ac:dyDescent="0.25">
      <c r="A37" s="24" t="s">
        <v>2</v>
      </c>
      <c r="B37" s="25"/>
      <c r="C37" s="25"/>
      <c r="D37" s="27"/>
      <c r="E37" s="29"/>
      <c r="F37" s="25"/>
      <c r="G37" s="27"/>
      <c r="H37" s="31" t="s">
        <v>14</v>
      </c>
      <c r="I37" s="26" t="str">
        <f>IFERROR(SMALL(B37:D37,1),"")</f>
        <v/>
      </c>
      <c r="J37" s="37" t="s">
        <v>20</v>
      </c>
      <c r="K37" s="35" t="str">
        <f>IFERROR(LARGE(E38:F38,1),"")</f>
        <v/>
      </c>
      <c r="L37" s="39" t="str">
        <f>IFERROR(K37-I37,"")</f>
        <v/>
      </c>
      <c r="M37" s="1"/>
      <c r="N37" s="1"/>
      <c r="O37" s="1"/>
    </row>
    <row r="38" spans="1:15" ht="15.75" thickBot="1" x14ac:dyDescent="0.3">
      <c r="A38" s="18" t="s">
        <v>3</v>
      </c>
      <c r="B38" s="19"/>
      <c r="C38" s="19"/>
      <c r="D38" s="22"/>
      <c r="E38" s="30"/>
      <c r="F38" s="19"/>
      <c r="G38" s="22"/>
      <c r="H38" s="32" t="s">
        <v>13</v>
      </c>
      <c r="I38" s="21" t="str">
        <f>IFERROR(LARGE(B38:D38,1),"")</f>
        <v/>
      </c>
      <c r="J38" s="20" t="s">
        <v>21</v>
      </c>
      <c r="K38" s="36" t="str">
        <f>IFERROR(SMALL(E37:F37,1),"")</f>
        <v/>
      </c>
      <c r="L38" s="34" t="str">
        <f>IFERROR(K38-I38,"")</f>
        <v/>
      </c>
      <c r="M38" s="1"/>
      <c r="N38" s="1"/>
      <c r="O38" s="1"/>
    </row>
    <row r="39" spans="1: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</sheetData>
  <mergeCells count="26">
    <mergeCell ref="A20:L20"/>
    <mergeCell ref="A26:G26"/>
    <mergeCell ref="H18:K19"/>
    <mergeCell ref="A18:D18"/>
    <mergeCell ref="E18:G18"/>
    <mergeCell ref="A27:L27"/>
    <mergeCell ref="A23:L23"/>
    <mergeCell ref="A1:B1"/>
    <mergeCell ref="C1:L1"/>
    <mergeCell ref="C2:L2"/>
    <mergeCell ref="A10:L10"/>
    <mergeCell ref="A2:B2"/>
    <mergeCell ref="A3:H9"/>
    <mergeCell ref="I3:L3"/>
    <mergeCell ref="J4:L4"/>
    <mergeCell ref="J5:L5"/>
    <mergeCell ref="J7:L7"/>
    <mergeCell ref="J9:L9"/>
    <mergeCell ref="J6:L6"/>
    <mergeCell ref="J8:L8"/>
    <mergeCell ref="L18:L19"/>
    <mergeCell ref="A34:D34"/>
    <mergeCell ref="E34:G34"/>
    <mergeCell ref="H34:K35"/>
    <mergeCell ref="L34:L35"/>
    <mergeCell ref="A36:L36"/>
  </mergeCells>
  <printOptions horizontalCentered="1"/>
  <pageMargins left="0" right="0" top="0" bottom="0" header="0.31496062992125984" footer="0.31496062992125984"/>
  <pageSetup paperSize="9" scale="86" orientation="portrait" r:id="rId1"/>
  <headerFooter>
    <oddFooter>&amp;LRev.00 - Setembro 2018</oddFooter>
  </headerFooter>
  <colBreaks count="1" manualBreakCount="1">
    <brk id="12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Plan1</vt:lpstr>
      <vt:lpstr>Plan2</vt:lpstr>
      <vt:lpstr>Plan3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2019-08-01T16:44:17Z</cp:lastPrinted>
  <dcterms:created xsi:type="dcterms:W3CDTF">2018-09-01T14:07:24Z</dcterms:created>
  <dcterms:modified xsi:type="dcterms:W3CDTF">2025-04-04T13:38:23Z</dcterms:modified>
</cp:coreProperties>
</file>